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3BAC82BF-A338-48A6-BAEC-D5932AFA899C}" xr6:coauthVersionLast="36" xr6:coauthVersionMax="36" xr10:uidLastSave="{00000000-0000-0000-0000-000000000000}"/>
  <bookViews>
    <workbookView xWindow="0" yWindow="0" windowWidth="20490" windowHeight="7425" activeTab="1" xr2:uid="{00000000-000D-0000-FFFF-FFFF00000000}"/>
  </bookViews>
  <sheets>
    <sheet name="AM &amp; AS" sheetId="1" r:id="rId1"/>
    <sheet name="TOKO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'AM &amp; AS'!$A$34:$O$50</definedName>
    <definedName name="_xlnm._FilterDatabase" localSheetId="1" hidden="1">TOKO!$A$4:$L$1164</definedName>
  </definedNames>
  <calcPr calcId="191029"/>
</workbook>
</file>

<file path=xl/calcChain.xml><?xml version="1.0" encoding="utf-8"?>
<calcChain xmlns="http://schemas.openxmlformats.org/spreadsheetml/2006/main">
  <c r="D83" i="2" l="1"/>
  <c r="D113" i="2"/>
  <c r="D80" i="2"/>
  <c r="D112" i="2"/>
  <c r="D108" i="2"/>
  <c r="D107" i="2"/>
  <c r="D104" i="2"/>
  <c r="D76" i="2"/>
  <c r="D96" i="2"/>
  <c r="D94" i="2"/>
  <c r="D93" i="2"/>
  <c r="D92" i="2"/>
  <c r="D87" i="2"/>
  <c r="D84" i="2"/>
  <c r="D81" i="2"/>
  <c r="D74" i="2"/>
  <c r="D69" i="2"/>
  <c r="D68" i="2"/>
  <c r="D66" i="2"/>
  <c r="D65" i="2"/>
  <c r="D79" i="2"/>
  <c r="D62" i="2"/>
  <c r="D59" i="2"/>
  <c r="D63" i="2"/>
  <c r="D61" i="2"/>
  <c r="D57" i="2"/>
  <c r="D55" i="2"/>
  <c r="D56" i="2"/>
  <c r="D99" i="2"/>
  <c r="D98" i="2"/>
  <c r="D135" i="2"/>
  <c r="D131" i="2"/>
  <c r="D91" i="2"/>
  <c r="D124" i="2"/>
  <c r="D122" i="2"/>
  <c r="D118" i="2"/>
  <c r="D116" i="2"/>
  <c r="D114" i="2"/>
  <c r="D90" i="2"/>
  <c r="D115" i="2"/>
  <c r="D136" i="2"/>
  <c r="D106" i="2"/>
  <c r="D105" i="2"/>
  <c r="D102" i="2"/>
  <c r="D101" i="2"/>
  <c r="D100" i="2"/>
  <c r="D147" i="2"/>
  <c r="D146" i="2"/>
  <c r="D145" i="2"/>
  <c r="D151" i="2"/>
  <c r="D121" i="2"/>
  <c r="D120" i="2"/>
  <c r="D150" i="2"/>
  <c r="D148" i="2"/>
  <c r="D129" i="2"/>
  <c r="D152" i="2"/>
  <c r="D123" i="2"/>
  <c r="D154" i="2"/>
  <c r="D153" i="2"/>
  <c r="D144" i="2"/>
  <c r="D143" i="2"/>
  <c r="D142" i="2"/>
  <c r="D140" i="2"/>
  <c r="D137" i="2"/>
  <c r="D130" i="2"/>
  <c r="D155" i="2"/>
  <c r="D158" i="2"/>
  <c r="D157" i="2"/>
  <c r="D156" i="2"/>
  <c r="D159" i="2"/>
  <c r="D160" i="2"/>
  <c r="C83" i="2"/>
  <c r="C113" i="2"/>
  <c r="C80" i="2"/>
  <c r="C112" i="2"/>
  <c r="C108" i="2"/>
  <c r="C107" i="2"/>
  <c r="C104" i="2"/>
  <c r="C76" i="2"/>
  <c r="C96" i="2"/>
  <c r="C94" i="2"/>
  <c r="C93" i="2"/>
  <c r="C92" i="2"/>
  <c r="C87" i="2"/>
  <c r="C84" i="2"/>
  <c r="C81" i="2"/>
  <c r="C74" i="2"/>
  <c r="C69" i="2"/>
  <c r="C68" i="2"/>
  <c r="C66" i="2"/>
  <c r="C65" i="2"/>
  <c r="C79" i="2"/>
  <c r="C62" i="2"/>
  <c r="C59" i="2"/>
  <c r="C63" i="2"/>
  <c r="C61" i="2"/>
  <c r="C57" i="2"/>
  <c r="C55" i="2"/>
  <c r="C56" i="2"/>
  <c r="C99" i="2"/>
  <c r="C98" i="2"/>
  <c r="C135" i="2"/>
  <c r="C131" i="2"/>
  <c r="C91" i="2"/>
  <c r="C124" i="2"/>
  <c r="C122" i="2"/>
  <c r="C118" i="2"/>
  <c r="C116" i="2"/>
  <c r="C114" i="2"/>
  <c r="C90" i="2"/>
  <c r="C115" i="2"/>
  <c r="C136" i="2"/>
  <c r="C106" i="2"/>
  <c r="C105" i="2"/>
  <c r="C102" i="2"/>
  <c r="C101" i="2"/>
  <c r="C100" i="2"/>
  <c r="C147" i="2"/>
  <c r="C146" i="2"/>
  <c r="C145" i="2"/>
  <c r="C151" i="2"/>
  <c r="C121" i="2"/>
  <c r="C120" i="2"/>
  <c r="C150" i="2"/>
  <c r="C148" i="2"/>
  <c r="C129" i="2"/>
  <c r="C152" i="2"/>
  <c r="C123" i="2"/>
  <c r="C154" i="2"/>
  <c r="C153" i="2"/>
  <c r="C144" i="2"/>
  <c r="C143" i="2"/>
  <c r="C142" i="2"/>
  <c r="C140" i="2"/>
  <c r="C137" i="2"/>
  <c r="C130" i="2"/>
  <c r="C155" i="2"/>
  <c r="C158" i="2"/>
  <c r="C157" i="2"/>
  <c r="C156" i="2"/>
  <c r="C159" i="2"/>
  <c r="C160" i="2"/>
  <c r="K129" i="2" l="1"/>
  <c r="K83" i="2"/>
  <c r="K113" i="2"/>
  <c r="K147" i="2"/>
  <c r="K99" i="2"/>
  <c r="K159" i="2"/>
  <c r="K98" i="2"/>
  <c r="K146" i="2"/>
  <c r="K155" i="2"/>
  <c r="K115" i="2"/>
  <c r="K80" i="2"/>
  <c r="K152" i="2"/>
  <c r="K154" i="2"/>
  <c r="K145" i="2"/>
  <c r="K112" i="2"/>
  <c r="K135" i="2"/>
  <c r="K153" i="2"/>
  <c r="K108" i="2"/>
  <c r="K157" i="2"/>
  <c r="K131" i="2"/>
  <c r="K136" i="2"/>
  <c r="K107" i="2"/>
  <c r="K151" i="2"/>
  <c r="K144" i="2"/>
  <c r="K143" i="2"/>
  <c r="K91" i="2"/>
  <c r="K104" i="2"/>
  <c r="K156" i="2"/>
  <c r="K76" i="2"/>
  <c r="K142" i="2"/>
  <c r="K96" i="2"/>
  <c r="K158" i="2"/>
  <c r="K94" i="2"/>
  <c r="K93" i="2"/>
  <c r="K140" i="2"/>
  <c r="K92" i="2"/>
  <c r="K106" i="2"/>
  <c r="K105" i="2"/>
  <c r="K124" i="2"/>
  <c r="K160" i="2"/>
  <c r="K102" i="2"/>
  <c r="K87" i="2"/>
  <c r="K101" i="2"/>
  <c r="K84" i="2"/>
  <c r="K121" i="2"/>
  <c r="K137" i="2"/>
  <c r="K130" i="2"/>
  <c r="K122" i="2"/>
  <c r="K81" i="2"/>
  <c r="K120" i="2"/>
  <c r="K118" i="2"/>
  <c r="K123" i="2"/>
  <c r="K74" i="2"/>
  <c r="K100" i="2"/>
  <c r="K69" i="2"/>
  <c r="K68" i="2"/>
  <c r="K150" i="2"/>
  <c r="K66" i="2"/>
  <c r="K65" i="2"/>
  <c r="K79" i="2"/>
  <c r="K116" i="2"/>
  <c r="K62" i="2"/>
  <c r="K59" i="2"/>
  <c r="K114" i="2"/>
  <c r="K63" i="2"/>
  <c r="K148" i="2"/>
  <c r="K61" i="2"/>
  <c r="K90" i="2"/>
  <c r="K57" i="2"/>
  <c r="K55" i="2"/>
  <c r="K56" i="2"/>
  <c r="L158" i="2" l="1"/>
  <c r="L155" i="2"/>
  <c r="L122" i="2"/>
  <c r="L115" i="2"/>
  <c r="L145" i="2"/>
  <c r="L143" i="2"/>
  <c r="L142" i="2"/>
  <c r="L140" i="2"/>
  <c r="L135" i="2"/>
  <c r="L80" i="2"/>
  <c r="L63" i="2"/>
  <c r="L81" i="2" l="1"/>
  <c r="L61" i="2"/>
  <c r="L137" i="2"/>
  <c r="L83" i="2"/>
  <c r="L90" i="2"/>
  <c r="L159" i="2"/>
  <c r="L147" i="2"/>
  <c r="L120" i="2"/>
  <c r="L152" i="2"/>
  <c r="L148" i="2"/>
  <c r="L157" i="2"/>
  <c r="L146" i="2"/>
  <c r="L114" i="2"/>
  <c r="L123" i="2"/>
  <c r="L65" i="2"/>
  <c r="L62" i="2"/>
  <c r="L106" i="2"/>
  <c r="L136" i="2"/>
  <c r="L144" i="2"/>
  <c r="L93" i="2"/>
  <c r="L91" i="2"/>
  <c r="L153" i="2"/>
  <c r="L74" i="2"/>
  <c r="L55" i="2"/>
  <c r="L131" i="2"/>
  <c r="L69" i="2"/>
  <c r="L94" i="2"/>
  <c r="L68" i="2"/>
  <c r="L112" i="2"/>
  <c r="L113" i="2"/>
  <c r="L66" i="2"/>
  <c r="L102" i="2"/>
  <c r="L87" i="2"/>
  <c r="L57" i="2"/>
  <c r="L118" i="2"/>
  <c r="L100" i="2"/>
  <c r="L59" i="2"/>
  <c r="L160" i="2"/>
  <c r="L96" i="2"/>
  <c r="L104" i="2"/>
  <c r="L129" i="2"/>
  <c r="L105" i="2"/>
  <c r="L76" i="2"/>
  <c r="L150" i="2"/>
  <c r="L156" i="2"/>
  <c r="L116" i="2"/>
  <c r="L92" i="2"/>
  <c r="L79" i="2"/>
  <c r="L121" i="2"/>
  <c r="L84" i="2"/>
  <c r="L130" i="2"/>
  <c r="L98" i="2"/>
  <c r="L108" i="2"/>
  <c r="L99" i="2"/>
  <c r="L124" i="2"/>
  <c r="L154" i="2"/>
  <c r="L56" i="2"/>
  <c r="L101" i="2"/>
  <c r="L151" i="2"/>
  <c r="L107" i="2"/>
  <c r="D22" i="1"/>
  <c r="I20" i="1"/>
  <c r="D23" i="2"/>
  <c r="D10" i="2"/>
  <c r="D12" i="2"/>
  <c r="D27" i="2"/>
  <c r="D9" i="2"/>
  <c r="D11" i="2"/>
  <c r="D43" i="2"/>
  <c r="D26" i="2"/>
  <c r="D15" i="2"/>
  <c r="D13" i="2"/>
  <c r="D20" i="2"/>
  <c r="D38" i="2"/>
  <c r="D6" i="2"/>
  <c r="D29" i="2"/>
  <c r="D21" i="2"/>
  <c r="D8" i="2"/>
  <c r="D5" i="2"/>
  <c r="D19" i="2"/>
  <c r="D34" i="2"/>
  <c r="D24" i="2"/>
  <c r="D17" i="2"/>
  <c r="D64" i="2"/>
  <c r="D36" i="2"/>
  <c r="D47" i="2"/>
  <c r="D33" i="2"/>
  <c r="D35" i="2"/>
  <c r="D41" i="2"/>
  <c r="D53" i="2"/>
  <c r="D25" i="2"/>
  <c r="D45" i="2"/>
  <c r="D31" i="2"/>
  <c r="D46" i="2"/>
  <c r="D32" i="2"/>
  <c r="D14" i="2"/>
  <c r="D51" i="2"/>
  <c r="D30" i="2"/>
  <c r="D73" i="2"/>
  <c r="D67" i="2"/>
  <c r="D72" i="2"/>
  <c r="D18" i="2"/>
  <c r="D89" i="2"/>
  <c r="D52" i="2"/>
  <c r="D42" i="2"/>
  <c r="D48" i="2"/>
  <c r="D16" i="2"/>
  <c r="D49" i="2"/>
  <c r="D50" i="2"/>
  <c r="D7" i="2"/>
  <c r="D54" i="2"/>
  <c r="D28" i="2"/>
  <c r="D77" i="2"/>
  <c r="D60" i="2"/>
  <c r="D37" i="2"/>
  <c r="D39" i="2"/>
  <c r="D97" i="2"/>
  <c r="D88" i="2"/>
  <c r="D44" i="2"/>
  <c r="D70" i="2"/>
  <c r="D85" i="2"/>
  <c r="D22" i="2"/>
  <c r="D141" i="2"/>
  <c r="D71" i="2"/>
  <c r="D138" i="2"/>
  <c r="D82" i="2"/>
  <c r="D127" i="2"/>
  <c r="D109" i="2"/>
  <c r="D132" i="2"/>
  <c r="D134" i="2"/>
  <c r="D78" i="2"/>
  <c r="D58" i="2"/>
  <c r="D95" i="2"/>
  <c r="D103" i="2"/>
  <c r="D126" i="2"/>
  <c r="D128" i="2"/>
  <c r="D75" i="2"/>
  <c r="D119" i="2"/>
  <c r="D125" i="2"/>
  <c r="D110" i="2"/>
  <c r="D133" i="2"/>
  <c r="D111" i="2"/>
  <c r="D86" i="2"/>
  <c r="D139" i="2"/>
  <c r="D117" i="2"/>
  <c r="D149" i="2"/>
  <c r="D40" i="2"/>
  <c r="A33" i="1"/>
  <c r="A32" i="1"/>
  <c r="A31" i="1"/>
  <c r="I26" i="1"/>
  <c r="H26" i="1"/>
  <c r="G26" i="1"/>
  <c r="F26" i="1"/>
  <c r="E26" i="1"/>
  <c r="D26" i="1"/>
  <c r="C26" i="1"/>
  <c r="I25" i="1"/>
  <c r="H25" i="1"/>
  <c r="G25" i="1"/>
  <c r="F25" i="1"/>
  <c r="E25" i="1"/>
  <c r="D25" i="1"/>
  <c r="C25" i="1"/>
  <c r="I24" i="1"/>
  <c r="H24" i="1"/>
  <c r="G24" i="1"/>
  <c r="F24" i="1"/>
  <c r="E24" i="1"/>
  <c r="D24" i="1"/>
  <c r="C24" i="1"/>
  <c r="I23" i="1"/>
  <c r="H23" i="1"/>
  <c r="G23" i="1"/>
  <c r="F23" i="1"/>
  <c r="E23" i="1"/>
  <c r="D23" i="1"/>
  <c r="C23" i="1"/>
  <c r="H22" i="1"/>
  <c r="G22" i="1"/>
  <c r="E22" i="1"/>
  <c r="C22" i="1"/>
  <c r="I21" i="1"/>
  <c r="H21" i="1"/>
  <c r="G21" i="1"/>
  <c r="F21" i="1"/>
  <c r="E21" i="1"/>
  <c r="D21" i="1"/>
  <c r="C21" i="1"/>
  <c r="H20" i="1"/>
  <c r="G20" i="1"/>
  <c r="C20" i="1"/>
  <c r="I19" i="1"/>
  <c r="H19" i="1"/>
  <c r="G19" i="1"/>
  <c r="F19" i="1"/>
  <c r="E19" i="1"/>
  <c r="D19" i="1"/>
  <c r="C19" i="1"/>
  <c r="I18" i="1"/>
  <c r="H18" i="1"/>
  <c r="G18" i="1"/>
  <c r="F18" i="1"/>
  <c r="E18" i="1"/>
  <c r="D18" i="1"/>
  <c r="C18" i="1"/>
  <c r="I17" i="1"/>
  <c r="H17" i="1"/>
  <c r="G17" i="1"/>
  <c r="F17" i="1"/>
  <c r="E17" i="1"/>
  <c r="D17" i="1"/>
  <c r="C17" i="1"/>
  <c r="I16" i="1"/>
  <c r="H16" i="1"/>
  <c r="G16" i="1"/>
  <c r="F16" i="1"/>
  <c r="E16" i="1"/>
  <c r="D16" i="1"/>
  <c r="C16" i="1"/>
  <c r="I15" i="1"/>
  <c r="H15" i="1"/>
  <c r="G15" i="1"/>
  <c r="F15" i="1"/>
  <c r="E15" i="1"/>
  <c r="D15" i="1"/>
  <c r="C15" i="1"/>
  <c r="I14" i="1"/>
  <c r="H14" i="1"/>
  <c r="G14" i="1"/>
  <c r="F14" i="1"/>
  <c r="E14" i="1"/>
  <c r="D14" i="1"/>
  <c r="C14" i="1"/>
  <c r="I13" i="1"/>
  <c r="H13" i="1"/>
  <c r="G13" i="1"/>
  <c r="F13" i="1"/>
  <c r="E13" i="1"/>
  <c r="D13" i="1"/>
  <c r="C13" i="1"/>
  <c r="I12" i="1"/>
  <c r="H12" i="1"/>
  <c r="G12" i="1"/>
  <c r="F12" i="1"/>
  <c r="E12" i="1"/>
  <c r="D12" i="1"/>
  <c r="C12" i="1"/>
  <c r="I11" i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/>
  <c r="I7" i="1"/>
  <c r="H7" i="1"/>
  <c r="G7" i="1"/>
  <c r="F7" i="1"/>
  <c r="E7" i="1"/>
  <c r="D7" i="1"/>
  <c r="C7" i="1"/>
  <c r="I1" i="1"/>
  <c r="H1" i="1"/>
  <c r="G1" i="1"/>
  <c r="F1" i="1"/>
  <c r="E1" i="1"/>
  <c r="D1" i="1"/>
  <c r="C1" i="1"/>
  <c r="F22" i="1" l="1"/>
  <c r="F20" i="1"/>
  <c r="D20" i="1"/>
  <c r="D27" i="1" s="1"/>
  <c r="E20" i="1"/>
  <c r="E27" i="1" s="1"/>
  <c r="I22" i="1"/>
  <c r="J22" i="1" s="1"/>
  <c r="J1" i="1"/>
  <c r="J13" i="1"/>
  <c r="E49" i="1"/>
  <c r="J18" i="1"/>
  <c r="J26" i="1"/>
  <c r="E29" i="1"/>
  <c r="C35" i="1"/>
  <c r="F38" i="1"/>
  <c r="I41" i="1"/>
  <c r="C43" i="1"/>
  <c r="F45" i="1"/>
  <c r="F49" i="1"/>
  <c r="E36" i="1"/>
  <c r="G38" i="1"/>
  <c r="I40" i="1"/>
  <c r="D43" i="1"/>
  <c r="H46" i="1"/>
  <c r="I47" i="1"/>
  <c r="G49" i="1"/>
  <c r="G29" i="1"/>
  <c r="E35" i="1"/>
  <c r="F36" i="1"/>
  <c r="G37" i="1"/>
  <c r="H38" i="1"/>
  <c r="I39" i="1"/>
  <c r="C41" i="1"/>
  <c r="D42" i="1"/>
  <c r="E43" i="1"/>
  <c r="F44" i="1"/>
  <c r="H45" i="1"/>
  <c r="I46" i="1"/>
  <c r="C48" i="1"/>
  <c r="H49" i="1"/>
  <c r="H29" i="1"/>
  <c r="F35" i="1"/>
  <c r="G36" i="1"/>
  <c r="H37" i="1"/>
  <c r="I38" i="1"/>
  <c r="C40" i="1"/>
  <c r="D41" i="1"/>
  <c r="E42" i="1"/>
  <c r="F43" i="1"/>
  <c r="G44" i="1"/>
  <c r="I45" i="1"/>
  <c r="C47" i="1"/>
  <c r="D48" i="1"/>
  <c r="D36" i="1"/>
  <c r="H40" i="1"/>
  <c r="D44" i="1"/>
  <c r="H47" i="1"/>
  <c r="F37" i="1"/>
  <c r="C42" i="1"/>
  <c r="I29" i="1"/>
  <c r="H36" i="1"/>
  <c r="D40" i="1"/>
  <c r="F42" i="1"/>
  <c r="H44" i="1"/>
  <c r="C46" i="1"/>
  <c r="D47" i="1"/>
  <c r="E48" i="1"/>
  <c r="H35" i="1"/>
  <c r="I36" i="1"/>
  <c r="C38" i="1"/>
  <c r="D39" i="1"/>
  <c r="E40" i="1"/>
  <c r="F41" i="1"/>
  <c r="G42" i="1"/>
  <c r="H43" i="1"/>
  <c r="I44" i="1"/>
  <c r="C45" i="1"/>
  <c r="D46" i="1"/>
  <c r="E47" i="1"/>
  <c r="F48" i="1"/>
  <c r="G39" i="1"/>
  <c r="G46" i="1"/>
  <c r="D35" i="1"/>
  <c r="E44" i="1"/>
  <c r="G35" i="1"/>
  <c r="C39" i="1"/>
  <c r="G43" i="1"/>
  <c r="C29" i="1"/>
  <c r="I35" i="1"/>
  <c r="C37" i="1"/>
  <c r="D38" i="1"/>
  <c r="E39" i="1"/>
  <c r="F40" i="1"/>
  <c r="G41" i="1"/>
  <c r="J41" i="1" s="1"/>
  <c r="H42" i="1"/>
  <c r="I43" i="1"/>
  <c r="D45" i="1"/>
  <c r="E46" i="1"/>
  <c r="F47" i="1"/>
  <c r="G48" i="1"/>
  <c r="E37" i="1"/>
  <c r="F29" i="1"/>
  <c r="H39" i="1"/>
  <c r="G45" i="1"/>
  <c r="I37" i="1"/>
  <c r="E41" i="1"/>
  <c r="D29" i="1"/>
  <c r="C36" i="1"/>
  <c r="D37" i="1"/>
  <c r="E38" i="1"/>
  <c r="F39" i="1"/>
  <c r="G40" i="1"/>
  <c r="J40" i="1" s="1"/>
  <c r="H41" i="1"/>
  <c r="I42" i="1"/>
  <c r="C44" i="1"/>
  <c r="E45" i="1"/>
  <c r="F46" i="1"/>
  <c r="G47" i="1"/>
  <c r="J47" i="1" s="1"/>
  <c r="H48" i="1"/>
  <c r="I49" i="1"/>
  <c r="I48" i="1"/>
  <c r="C49" i="1"/>
  <c r="D49" i="1"/>
  <c r="J11" i="1"/>
  <c r="J19" i="1"/>
  <c r="J29" i="1"/>
  <c r="J23" i="1"/>
  <c r="J15" i="1"/>
  <c r="J14" i="1"/>
  <c r="J10" i="1"/>
  <c r="J8" i="1"/>
  <c r="J16" i="1"/>
  <c r="J24" i="1"/>
  <c r="G27" i="1"/>
  <c r="J9" i="1"/>
  <c r="J17" i="1"/>
  <c r="J25" i="1"/>
  <c r="H27" i="1"/>
  <c r="C27" i="1"/>
  <c r="J21" i="1"/>
  <c r="J12" i="1"/>
  <c r="J20" i="1"/>
  <c r="J7" i="1"/>
  <c r="J49" i="1" l="1"/>
  <c r="F27" i="1"/>
  <c r="I27" i="1"/>
  <c r="J27" i="1" s="1"/>
  <c r="J39" i="1"/>
  <c r="J36" i="1"/>
  <c r="J38" i="1"/>
  <c r="J42" i="1"/>
  <c r="J37" i="1"/>
  <c r="J35" i="1"/>
  <c r="H50" i="1"/>
  <c r="J43" i="1"/>
  <c r="D50" i="1"/>
  <c r="G50" i="1"/>
  <c r="E50" i="1"/>
  <c r="F50" i="1"/>
  <c r="J44" i="1"/>
  <c r="J46" i="1"/>
  <c r="C50" i="1"/>
  <c r="I50" i="1"/>
  <c r="J45" i="1"/>
  <c r="J48" i="1"/>
  <c r="J50" i="1" l="1"/>
</calcChain>
</file>

<file path=xl/sharedStrings.xml><?xml version="1.0" encoding="utf-8"?>
<sst xmlns="http://schemas.openxmlformats.org/spreadsheetml/2006/main" count="982" uniqueCount="224">
  <si>
    <t>RUMUS</t>
  </si>
  <si>
    <t>REPORT PENCAPAIAN ICE CREAM &amp; TELUR</t>
  </si>
  <si>
    <t>REALTIME</t>
  </si>
  <si>
    <t>NOTE</t>
  </si>
  <si>
    <t>CAB JEMBER</t>
  </si>
  <si>
    <t>JIKA MAU SHORT MATIKAN RUMUS</t>
  </si>
  <si>
    <t>AM</t>
  </si>
  <si>
    <t>MODUL</t>
  </si>
  <si>
    <t xml:space="preserve"> TOKO</t>
  </si>
  <si>
    <t>TOKO TIDAK ADA SALES</t>
  </si>
  <si>
    <t>TOKO ADA SALES</t>
  </si>
  <si>
    <t>ACH &lt;100%</t>
  </si>
  <si>
    <t xml:space="preserve"> TARGET</t>
  </si>
  <si>
    <t>STOK</t>
  </si>
  <si>
    <t>ACH</t>
  </si>
  <si>
    <t>RUMUS SUDAH TERSEDIA DI ATAS</t>
  </si>
  <si>
    <t>ATS</t>
  </si>
  <si>
    <t>ESY</t>
  </si>
  <si>
    <t>JDP</t>
  </si>
  <si>
    <t>JLE</t>
  </si>
  <si>
    <t>KAM</t>
  </si>
  <si>
    <t>RFK</t>
  </si>
  <si>
    <t>SBN</t>
  </si>
  <si>
    <t>SSO</t>
  </si>
  <si>
    <t>SUR</t>
  </si>
  <si>
    <t>SYA</t>
  </si>
  <si>
    <t>FRIED CHICKEN</t>
  </si>
  <si>
    <t>Grand Total</t>
  </si>
  <si>
    <t>RMB</t>
  </si>
  <si>
    <t>INK</t>
  </si>
  <si>
    <t>SGY</t>
  </si>
  <si>
    <t>PJO</t>
  </si>
  <si>
    <t>EGR</t>
  </si>
  <si>
    <t>KHO</t>
  </si>
  <si>
    <t>YRD</t>
  </si>
  <si>
    <t>REALTIME ICE CREAM &amp; TELUR</t>
  </si>
  <si>
    <t>CAB JBR,KPG,SBA</t>
  </si>
  <si>
    <t>Kode Toko</t>
  </si>
  <si>
    <t>Nama Toko</t>
  </si>
  <si>
    <t>AS</t>
  </si>
  <si>
    <t>CABANG</t>
  </si>
  <si>
    <t>TYPE</t>
  </si>
  <si>
    <t>TYPE TOKO</t>
  </si>
  <si>
    <t>JAM</t>
  </si>
  <si>
    <t>TARGET</t>
  </si>
  <si>
    <t>TV2H</t>
  </si>
  <si>
    <t>KARTINI KEFA TTU</t>
  </si>
  <si>
    <t xml:space="preserve">STANDARD </t>
  </si>
  <si>
    <t>TSUV</t>
  </si>
  <si>
    <t>AINIBA</t>
  </si>
  <si>
    <t>STANDARD NEW</t>
  </si>
  <si>
    <t>T47C</t>
  </si>
  <si>
    <t>HR KOROH SIKUMANA</t>
  </si>
  <si>
    <t>TDHB</t>
  </si>
  <si>
    <t>TIMOR RAYA KELAPA LIMA</t>
  </si>
  <si>
    <t>TO70</t>
  </si>
  <si>
    <t>LANUDAL PENFUI TIMUR</t>
  </si>
  <si>
    <t>TQTM</t>
  </si>
  <si>
    <t>SOEHARTO NO. 88</t>
  </si>
  <si>
    <t>T2WX</t>
  </si>
  <si>
    <t>AMABI TOFA MAULAFA</t>
  </si>
  <si>
    <t>TDJ1</t>
  </si>
  <si>
    <t>JENDRAL SUDIRMAN NUNLEU</t>
  </si>
  <si>
    <t>TEYX</t>
  </si>
  <si>
    <t>YOS SUDARSO NAMOSAIN</t>
  </si>
  <si>
    <t>TLN2</t>
  </si>
  <si>
    <t>TIMOR RAYA KM 9</t>
  </si>
  <si>
    <t>TTED</t>
  </si>
  <si>
    <t>HEREWILA</t>
  </si>
  <si>
    <t>TWZJ</t>
  </si>
  <si>
    <t>TIMOR RAYA KM 12</t>
  </si>
  <si>
    <t>T0KG</t>
  </si>
  <si>
    <t>TIMOR RAYA KM 14</t>
  </si>
  <si>
    <t>TUI0</t>
  </si>
  <si>
    <t>I. J. KASIMO</t>
  </si>
  <si>
    <t>TFXL</t>
  </si>
  <si>
    <t>TIMOR RAYA PASIR PANJANG</t>
  </si>
  <si>
    <t>T53I</t>
  </si>
  <si>
    <t>TIMOR RAYA OESAPA KM 8</t>
  </si>
  <si>
    <t>TE1Y</t>
  </si>
  <si>
    <t>TAEBENU NAIMATA</t>
  </si>
  <si>
    <t>TFMT</t>
  </si>
  <si>
    <t>RAYA MATANI</t>
  </si>
  <si>
    <t>TG5D</t>
  </si>
  <si>
    <t>PENKASE NO. 28 ABC</t>
  </si>
  <si>
    <t>TQUO</t>
  </si>
  <si>
    <t>WJ LALAMENTIK</t>
  </si>
  <si>
    <t>TCWJ</t>
  </si>
  <si>
    <t>LINGKAR LUAR 40</t>
  </si>
  <si>
    <t>T9G3</t>
  </si>
  <si>
    <t>SILIWANGI OESAPA</t>
  </si>
  <si>
    <t>T2ZE</t>
  </si>
  <si>
    <t>FATUBESI KUPANG</t>
  </si>
  <si>
    <t>TLNE</t>
  </si>
  <si>
    <t>RW MONGONSIDI</t>
  </si>
  <si>
    <t>TEL7</t>
  </si>
  <si>
    <t>VETERAN NO.11 CD</t>
  </si>
  <si>
    <t>THXA</t>
  </si>
  <si>
    <t>THAMRIN KAYU PUTIH</t>
  </si>
  <si>
    <t>TIHU</t>
  </si>
  <si>
    <t>PERINTIS KEMERDEKAAN</t>
  </si>
  <si>
    <t>T9D7</t>
  </si>
  <si>
    <t>JAMBU MANULAI II</t>
  </si>
  <si>
    <t>TM62</t>
  </si>
  <si>
    <t>TAEBENU PENFUI</t>
  </si>
  <si>
    <t>T47S</t>
  </si>
  <si>
    <t>TIMOR RAYA KM 25</t>
  </si>
  <si>
    <t>TG5Z</t>
  </si>
  <si>
    <t>ELTARI KM 7</t>
  </si>
  <si>
    <t>T1DW</t>
  </si>
  <si>
    <t>R. E. MARTADINATA BELU</t>
  </si>
  <si>
    <t>T3AX</t>
  </si>
  <si>
    <t>OELATA RAYA</t>
  </si>
  <si>
    <t>TPAU</t>
  </si>
  <si>
    <t>WJ LALAMENTIK NO. 11</t>
  </si>
  <si>
    <t>T9RY</t>
  </si>
  <si>
    <t>TR. CAMPLONG I</t>
  </si>
  <si>
    <t>TY7M</t>
  </si>
  <si>
    <t>ADI SUCIPTO</t>
  </si>
  <si>
    <t>T79P</t>
  </si>
  <si>
    <t>HR KOROH BELLO</t>
  </si>
  <si>
    <t>TG6T</t>
  </si>
  <si>
    <t>HR KOROH OEPURA</t>
  </si>
  <si>
    <t>TE9I</t>
  </si>
  <si>
    <t>A. YANI SOE</t>
  </si>
  <si>
    <t>TS7P</t>
  </si>
  <si>
    <t>PAHLAWAN NUNBAUN SABU</t>
  </si>
  <si>
    <t>TVJX</t>
  </si>
  <si>
    <t>WJ LALAMENTIK OEBUFU - KPG</t>
  </si>
  <si>
    <t>TYP0</t>
  </si>
  <si>
    <t>ELTARI KM 3 TTU</t>
  </si>
  <si>
    <t>T6VC</t>
  </si>
  <si>
    <t>PIET A TALLO</t>
  </si>
  <si>
    <t>TFPR</t>
  </si>
  <si>
    <t>ADI SUCIPTO PENFUI</t>
  </si>
  <si>
    <t>TFYM</t>
  </si>
  <si>
    <t>AHMAD YANI</t>
  </si>
  <si>
    <t>TLBM</t>
  </si>
  <si>
    <t>CAK DOKO 43</t>
  </si>
  <si>
    <t>T2JY</t>
  </si>
  <si>
    <t>LINTAS OINLASI</t>
  </si>
  <si>
    <t>TFK8</t>
  </si>
  <si>
    <t>SAMRATULANGI I KPG</t>
  </si>
  <si>
    <t>TV0M</t>
  </si>
  <si>
    <t>HM. YAMIN ATAMBUA</t>
  </si>
  <si>
    <t>TVB9</t>
  </si>
  <si>
    <t xml:space="preserve">DIPONEGORO SOE </t>
  </si>
  <si>
    <t>TJAX</t>
  </si>
  <si>
    <t>MARSDA ADI SUCIPTO TENUKIK</t>
  </si>
  <si>
    <t>TOQF</t>
  </si>
  <si>
    <t>TIMOR RAYA KM 28</t>
  </si>
  <si>
    <t>TBRI</t>
  </si>
  <si>
    <t>W. J. LALAMENTIK OEBOBO</t>
  </si>
  <si>
    <t>TT1V</t>
  </si>
  <si>
    <t>TR NOELBAKI KUPANG</t>
  </si>
  <si>
    <t>TQ4M</t>
  </si>
  <si>
    <t>A. YANI TTU</t>
  </si>
  <si>
    <t>TNY2</t>
  </si>
  <si>
    <t>ALFONSIUS NISNONI</t>
  </si>
  <si>
    <t>TKEA</t>
  </si>
  <si>
    <t>KEFAMENANU</t>
  </si>
  <si>
    <t>TMO0</t>
  </si>
  <si>
    <t>MATAWAI AMAHU SUMBA</t>
  </si>
  <si>
    <t>T1F4</t>
  </si>
  <si>
    <t>JENDRAL SUDIRMAN KOANINO</t>
  </si>
  <si>
    <t>TAX0</t>
  </si>
  <si>
    <t>FRANS LEBU RAYA</t>
  </si>
  <si>
    <t>T5R3</t>
  </si>
  <si>
    <t>JEND. SOEHARTO NO. 66</t>
  </si>
  <si>
    <t>TBY5</t>
  </si>
  <si>
    <t>RAYA ATAMBUA</t>
  </si>
  <si>
    <t>TUWA</t>
  </si>
  <si>
    <t>TIMOR RAYA KM 10</t>
  </si>
  <si>
    <t>TCGA</t>
  </si>
  <si>
    <t xml:space="preserve">FETOR FUNAY MAULAFA </t>
  </si>
  <si>
    <t>TL0I</t>
  </si>
  <si>
    <t>RAJA YOHANES NGONO BANI</t>
  </si>
  <si>
    <t>TTZQ</t>
  </si>
  <si>
    <t>PIET A TALLO OESAPA</t>
  </si>
  <si>
    <t>TJUD</t>
  </si>
  <si>
    <t>LEDE KALUMBANG SBD</t>
  </si>
  <si>
    <t>TQ6C</t>
  </si>
  <si>
    <t>KASIMO BEIRAFU ATAMBUA</t>
  </si>
  <si>
    <t>TKG3</t>
  </si>
  <si>
    <t>BONDO KODI</t>
  </si>
  <si>
    <t>TB2N</t>
  </si>
  <si>
    <t>YOS SUDARSO</t>
  </si>
  <si>
    <t>T4EU</t>
  </si>
  <si>
    <t>TXQN</t>
  </si>
  <si>
    <t>RAYA ANAKALANG</t>
  </si>
  <si>
    <t>TZM4</t>
  </si>
  <si>
    <t>FETOR FUNAY KOLHUA</t>
  </si>
  <si>
    <t>T6AH</t>
  </si>
  <si>
    <t>HAYAM WURUK SOE</t>
  </si>
  <si>
    <t>T0VA</t>
  </si>
  <si>
    <t>TIMOR RAYA KM 36</t>
  </si>
  <si>
    <t>T4AZ</t>
  </si>
  <si>
    <t>BASUKI RAHMAT SUMBA</t>
  </si>
  <si>
    <t>TC8O</t>
  </si>
  <si>
    <t>BUMI 1 LILIBA</t>
  </si>
  <si>
    <t>TYWS</t>
  </si>
  <si>
    <t>MERDEKA ATAMBUA</t>
  </si>
  <si>
    <t>TUXZ</t>
  </si>
  <si>
    <t>PRAILIU SUMBA</t>
  </si>
  <si>
    <t>TQ2Z</t>
  </si>
  <si>
    <t>TAKARI</t>
  </si>
  <si>
    <t>T1WS</t>
  </si>
  <si>
    <t>A. YANI MERDEKA</t>
  </si>
  <si>
    <t>T7A7</t>
  </si>
  <si>
    <t>ADAM MALIK KAMBAJAWA</t>
  </si>
  <si>
    <t>T9HC</t>
  </si>
  <si>
    <t>WEWEWA BARAT</t>
  </si>
  <si>
    <t>THYS</t>
  </si>
  <si>
    <t>KODI UTARA</t>
  </si>
  <si>
    <t>TQJK</t>
  </si>
  <si>
    <t>D.I. PANJAITAN MATAWAI</t>
  </si>
  <si>
    <t>TZAM</t>
  </si>
  <si>
    <t>A. YANI WAIKABUBAK</t>
  </si>
  <si>
    <t>TP3T</t>
  </si>
  <si>
    <t>BHAYANGKARA NO. 01</t>
  </si>
  <si>
    <t>SOSIS</t>
  </si>
  <si>
    <t>MBN</t>
  </si>
  <si>
    <t>KUPANG</t>
  </si>
  <si>
    <t>SUMBA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</si>
</sst>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 applyBorder="0"/>
    <xf numFmtId="164" fontId="6" fillId="0" borderId="0" applyBorder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0" fillId="0" borderId="1" xfId="0" applyNumberFormat="1" applyBorder="1"/>
    <xf numFmtId="38" fontId="3" fillId="3" borderId="0" xfId="0" applyNumberFormat="1" applyFont="1" applyFill="1"/>
    <xf numFmtId="38" fontId="0" fillId="0" borderId="1" xfId="0" applyNumberFormat="1" applyBorder="1"/>
    <xf numFmtId="0" fontId="4" fillId="0" borderId="0" xfId="0" applyFont="1"/>
    <xf numFmtId="38" fontId="5" fillId="3" borderId="0" xfId="0" applyNumberFormat="1" applyFont="1" applyFill="1" applyAlignment="1">
      <alignment horizontal="center" vertical="center" wrapText="1"/>
    </xf>
    <xf numFmtId="38" fontId="4" fillId="4" borderId="1" xfId="0" applyNumberFormat="1" applyFont="1" applyFill="1" applyBorder="1"/>
    <xf numFmtId="38" fontId="3" fillId="0" borderId="0" xfId="0" applyNumberFormat="1" applyFont="1"/>
    <xf numFmtId="38" fontId="0" fillId="0" borderId="0" xfId="0" applyNumberFormat="1"/>
    <xf numFmtId="0" fontId="0" fillId="0" borderId="1" xfId="0" applyBorder="1" applyAlignment="1">
      <alignment horizontal="center"/>
    </xf>
    <xf numFmtId="38" fontId="2" fillId="0" borderId="1" xfId="0" applyNumberFormat="1" applyFont="1" applyBorder="1" applyAlignment="1">
      <alignment horizontal="center"/>
    </xf>
    <xf numFmtId="38" fontId="1" fillId="4" borderId="1" xfId="0" applyNumberFormat="1" applyFont="1" applyFill="1" applyBorder="1" applyAlignment="1">
      <alignment horizontal="center"/>
    </xf>
    <xf numFmtId="164" fontId="0" fillId="0" borderId="1" xfId="1" applyFont="1" applyBorder="1"/>
    <xf numFmtId="164" fontId="4" fillId="4" borderId="1" xfId="1" applyFont="1" applyFill="1" applyBorder="1"/>
    <xf numFmtId="164" fontId="0" fillId="0" borderId="0" xfId="1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8" fontId="5" fillId="3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NY\Downloads\Template%20struktur%20organisasi%20area%20manager%20Mei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NY\Downloads\Template%20struktur%20organisasi%20area%20manager%20Juni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NY\Documents\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O (2)"/>
      <sheetName val="TOKO"/>
      <sheetName val="AS"/>
      <sheetName val="AM"/>
      <sheetName val="Sheet1"/>
      <sheetName val="TOKO TUTUP"/>
    </sheetNames>
    <sheetDataSet>
      <sheetData sheetId="0"/>
      <sheetData sheetId="1">
        <row r="7">
          <cell r="D7" t="str">
            <v>T1F4</v>
          </cell>
          <cell r="E7" t="str">
            <v/>
          </cell>
          <cell r="F7" t="str">
            <v>JENDRAL SUDIRMAN KUANINO</v>
          </cell>
          <cell r="G7" t="str">
            <v>R</v>
          </cell>
          <cell r="H7">
            <v>44772</v>
          </cell>
          <cell r="I7" t="str">
            <v>STANDARD NEW</v>
          </cell>
          <cell r="J7">
            <v>1993000489</v>
          </cell>
          <cell r="K7" t="str">
            <v>ARAFIK</v>
          </cell>
          <cell r="L7" t="str">
            <v>RFK</v>
          </cell>
          <cell r="M7">
            <v>2015469479</v>
          </cell>
          <cell r="N7" t="str">
            <v>IRFAN ALDRICK KANA</v>
          </cell>
          <cell r="O7" t="str">
            <v>INK</v>
          </cell>
          <cell r="P7" t="str">
            <v>idmT1F4@kpg.indomaret.co.id</v>
          </cell>
          <cell r="Q7" t="str">
            <v>KOD. KUPANG</v>
          </cell>
          <cell r="R7" t="str">
            <v>SDN</v>
          </cell>
        </row>
        <row r="8">
          <cell r="D8" t="str">
            <v>T5R3</v>
          </cell>
          <cell r="E8" t="str">
            <v/>
          </cell>
          <cell r="F8" t="str">
            <v>JEND. SOEHARTO NO. 66</v>
          </cell>
          <cell r="G8" t="str">
            <v>R</v>
          </cell>
          <cell r="H8">
            <v>44923</v>
          </cell>
          <cell r="I8" t="str">
            <v>STANDARD NEW</v>
          </cell>
          <cell r="J8">
            <v>1993000489</v>
          </cell>
          <cell r="K8" t="str">
            <v>ARAFIK</v>
          </cell>
          <cell r="L8" t="str">
            <v>RFK</v>
          </cell>
          <cell r="M8">
            <v>2015469479</v>
          </cell>
          <cell r="N8" t="str">
            <v>IRFAN ALDRICK KANA</v>
          </cell>
          <cell r="O8" t="str">
            <v>INK</v>
          </cell>
          <cell r="P8" t="str">
            <v>idmT5R3@kpg.indomaret.co.id</v>
          </cell>
          <cell r="Q8" t="str">
            <v>KOD. KUPANG</v>
          </cell>
          <cell r="R8" t="str">
            <v>SDN</v>
          </cell>
        </row>
        <row r="9">
          <cell r="D9" t="str">
            <v>TAX0</v>
          </cell>
          <cell r="E9" t="str">
            <v/>
          </cell>
          <cell r="F9" t="str">
            <v>FRANS LEKU RAYA</v>
          </cell>
          <cell r="G9" t="str">
            <v>R</v>
          </cell>
          <cell r="H9">
            <v>44879</v>
          </cell>
          <cell r="I9" t="str">
            <v>STANDARD NEW</v>
          </cell>
          <cell r="J9">
            <v>1993000489</v>
          </cell>
          <cell r="K9" t="str">
            <v>ARAFIK</v>
          </cell>
          <cell r="L9" t="str">
            <v>RFK</v>
          </cell>
          <cell r="M9">
            <v>2015469479</v>
          </cell>
          <cell r="N9" t="str">
            <v>IRFAN ALDRICK KANA</v>
          </cell>
          <cell r="O9" t="str">
            <v>INK</v>
          </cell>
          <cell r="P9" t="str">
            <v>idmTAX0@kpg.indomaret.co.id</v>
          </cell>
          <cell r="Q9" t="str">
            <v>KOD. KUPANG</v>
          </cell>
          <cell r="R9" t="str">
            <v>SDN</v>
          </cell>
        </row>
        <row r="10">
          <cell r="D10" t="str">
            <v>TBRI</v>
          </cell>
          <cell r="E10" t="str">
            <v/>
          </cell>
          <cell r="F10" t="str">
            <v>WJ LALAMENTIK</v>
          </cell>
          <cell r="G10" t="str">
            <v>R</v>
          </cell>
          <cell r="H10">
            <v>45866</v>
          </cell>
          <cell r="I10" t="str">
            <v>STANDARD NEW</v>
          </cell>
          <cell r="J10">
            <v>1993000489</v>
          </cell>
          <cell r="K10" t="str">
            <v>ARAFIK</v>
          </cell>
          <cell r="L10" t="str">
            <v>RFK</v>
          </cell>
          <cell r="M10">
            <v>2015469479</v>
          </cell>
          <cell r="N10" t="str">
            <v>IRFAN ALDRICK KANA</v>
          </cell>
          <cell r="O10" t="str">
            <v>INK</v>
          </cell>
          <cell r="P10" t="str">
            <v>idmTBRI@jbr.indomaret.co.id</v>
          </cell>
          <cell r="Q10" t="str">
            <v>KOD. KUPANG</v>
          </cell>
          <cell r="R10" t="str">
            <v>SDN</v>
          </cell>
        </row>
        <row r="11">
          <cell r="D11" t="str">
            <v>TDHB</v>
          </cell>
          <cell r="E11" t="str">
            <v/>
          </cell>
          <cell r="F11" t="str">
            <v>TIMOR RAYA KELAPA LIMA</v>
          </cell>
          <cell r="G11" t="str">
            <v>R</v>
          </cell>
          <cell r="H11">
            <v>44769</v>
          </cell>
          <cell r="I11" t="str">
            <v xml:space="preserve">STANDARD </v>
          </cell>
          <cell r="J11">
            <v>1993000489</v>
          </cell>
          <cell r="K11" t="str">
            <v>ARAFIK</v>
          </cell>
          <cell r="L11" t="str">
            <v>RFK</v>
          </cell>
          <cell r="M11">
            <v>2015469479</v>
          </cell>
          <cell r="N11" t="str">
            <v>IRFAN ALDRICK KANA</v>
          </cell>
          <cell r="O11" t="str">
            <v>INK</v>
          </cell>
          <cell r="P11" t="str">
            <v>idmTDHB@kpg.indomaret.co.id</v>
          </cell>
          <cell r="Q11" t="str">
            <v>KOD. KUPANG</v>
          </cell>
          <cell r="R11" t="str">
            <v>SDS</v>
          </cell>
        </row>
        <row r="12">
          <cell r="D12" t="str">
            <v>TFXL</v>
          </cell>
          <cell r="E12" t="str">
            <v/>
          </cell>
          <cell r="F12" t="str">
            <v>TIMOR RAYA PASIR PANJANG</v>
          </cell>
          <cell r="G12" t="str">
            <v>R</v>
          </cell>
          <cell r="H12">
            <v>44909</v>
          </cell>
          <cell r="I12" t="str">
            <v xml:space="preserve">STANDARD </v>
          </cell>
          <cell r="J12">
            <v>1993000489</v>
          </cell>
          <cell r="K12" t="str">
            <v>ARAFIK</v>
          </cell>
          <cell r="L12" t="str">
            <v>RFK</v>
          </cell>
          <cell r="M12">
            <v>2015469479</v>
          </cell>
          <cell r="N12" t="str">
            <v>IRFAN ALDRICK KANA</v>
          </cell>
          <cell r="O12" t="str">
            <v>INK</v>
          </cell>
          <cell r="P12" t="str">
            <v>idmTFXL@kpg.indomaret.co.id</v>
          </cell>
          <cell r="Q12" t="str">
            <v>KOD. KUPANG</v>
          </cell>
          <cell r="R12" t="str">
            <v>SDS</v>
          </cell>
        </row>
        <row r="13">
          <cell r="D13" t="str">
            <v>THXA</v>
          </cell>
          <cell r="E13" t="str">
            <v/>
          </cell>
          <cell r="F13" t="str">
            <v>THAMRIN KAYU PUTIH</v>
          </cell>
          <cell r="G13" t="str">
            <v>R</v>
          </cell>
          <cell r="H13">
            <v>44985</v>
          </cell>
          <cell r="I13" t="str">
            <v xml:space="preserve">STANDARD </v>
          </cell>
          <cell r="J13">
            <v>1993000489</v>
          </cell>
          <cell r="K13" t="str">
            <v>ARAFIK</v>
          </cell>
          <cell r="L13" t="str">
            <v>RFK</v>
          </cell>
          <cell r="M13">
            <v>2015469479</v>
          </cell>
          <cell r="N13" t="str">
            <v>IRFAN ALDRICK KANA</v>
          </cell>
          <cell r="O13" t="str">
            <v>INK</v>
          </cell>
          <cell r="P13" t="str">
            <v>idmTHXA@kpg.indomaret.co.id</v>
          </cell>
          <cell r="Q13" t="str">
            <v>KOD. KUPANG</v>
          </cell>
          <cell r="R13" t="str">
            <v>SDS</v>
          </cell>
        </row>
        <row r="14">
          <cell r="D14" t="str">
            <v>TIHU</v>
          </cell>
          <cell r="E14" t="str">
            <v/>
          </cell>
          <cell r="F14" t="str">
            <v>PERINTIS KEMERDEKAAN</v>
          </cell>
          <cell r="G14" t="str">
            <v>R</v>
          </cell>
          <cell r="H14">
            <v>44859</v>
          </cell>
          <cell r="I14" t="str">
            <v xml:space="preserve">STANDARD </v>
          </cell>
          <cell r="J14">
            <v>1993000489</v>
          </cell>
          <cell r="K14" t="str">
            <v>ARAFIK</v>
          </cell>
          <cell r="L14" t="str">
            <v>RFK</v>
          </cell>
          <cell r="M14">
            <v>2015469479</v>
          </cell>
          <cell r="N14" t="str">
            <v>IRFAN ALDRICK KANA</v>
          </cell>
          <cell r="O14" t="str">
            <v>INK</v>
          </cell>
          <cell r="P14" t="str">
            <v>idmTIHU@kpg.indomaret.co.id</v>
          </cell>
          <cell r="Q14" t="str">
            <v>KOD. KUPANG</v>
          </cell>
          <cell r="R14" t="str">
            <v>SDS</v>
          </cell>
        </row>
        <row r="15">
          <cell r="D15" t="str">
            <v>TLN2</v>
          </cell>
          <cell r="E15" t="str">
            <v/>
          </cell>
          <cell r="F15" t="str">
            <v>TIMOR RAYA KM 9</v>
          </cell>
          <cell r="G15" t="str">
            <v>R</v>
          </cell>
          <cell r="H15">
            <v>44850</v>
          </cell>
          <cell r="I15" t="str">
            <v xml:space="preserve">STANDARD </v>
          </cell>
          <cell r="J15">
            <v>1993000489</v>
          </cell>
          <cell r="K15" t="str">
            <v>ARAFIK</v>
          </cell>
          <cell r="L15" t="str">
            <v>RFK</v>
          </cell>
          <cell r="M15">
            <v>2015469479</v>
          </cell>
          <cell r="N15" t="str">
            <v>IRFAN ALDRICK KANA</v>
          </cell>
          <cell r="O15" t="str">
            <v>INK</v>
          </cell>
          <cell r="P15" t="str">
            <v>idmTLN2@kpg.indomaret.co.id</v>
          </cell>
          <cell r="Q15" t="str">
            <v>KOD. KUPANG</v>
          </cell>
          <cell r="R15" t="str">
            <v>SDS</v>
          </cell>
        </row>
        <row r="16">
          <cell r="D16" t="str">
            <v>TNY2</v>
          </cell>
          <cell r="E16" t="str">
            <v/>
          </cell>
          <cell r="F16" t="str">
            <v>ALFONSIUS NISNONI</v>
          </cell>
          <cell r="G16" t="str">
            <v>R</v>
          </cell>
          <cell r="H16">
            <v>44953</v>
          </cell>
          <cell r="I16" t="str">
            <v>STANDARD NEW</v>
          </cell>
          <cell r="J16">
            <v>1993000489</v>
          </cell>
          <cell r="K16" t="str">
            <v>ARAFIK</v>
          </cell>
          <cell r="L16" t="str">
            <v>RFK</v>
          </cell>
          <cell r="M16">
            <v>2015469479</v>
          </cell>
          <cell r="N16" t="str">
            <v>IRFAN ALDRICK KANA</v>
          </cell>
          <cell r="O16" t="str">
            <v>INK</v>
          </cell>
          <cell r="P16" t="str">
            <v>idmTNY2@kpg.indomaret.co.id</v>
          </cell>
          <cell r="Q16" t="str">
            <v>KOD. KUPANG</v>
          </cell>
          <cell r="R16" t="str">
            <v>SDN</v>
          </cell>
        </row>
        <row r="17">
          <cell r="D17" t="str">
            <v>TQTM</v>
          </cell>
          <cell r="E17" t="str">
            <v/>
          </cell>
          <cell r="F17" t="str">
            <v>SOEHARTO 88</v>
          </cell>
          <cell r="G17" t="str">
            <v>R</v>
          </cell>
          <cell r="H17">
            <v>45524</v>
          </cell>
          <cell r="I17" t="str">
            <v xml:space="preserve">STANDARD </v>
          </cell>
          <cell r="J17">
            <v>1993000489</v>
          </cell>
          <cell r="K17" t="str">
            <v>ARAFIK</v>
          </cell>
          <cell r="L17" t="str">
            <v>RFK</v>
          </cell>
          <cell r="M17">
            <v>2015469479</v>
          </cell>
          <cell r="N17" t="str">
            <v>IRFAN ALDRICK KANA</v>
          </cell>
          <cell r="O17" t="str">
            <v>INK</v>
          </cell>
          <cell r="P17" t="str">
            <v>idmTQTM@kpg.indomaret.co.id</v>
          </cell>
          <cell r="Q17" t="str">
            <v>KOD. KUPANG</v>
          </cell>
          <cell r="R17" t="str">
            <v>SDS</v>
          </cell>
        </row>
        <row r="18">
          <cell r="D18" t="str">
            <v>TSUV</v>
          </cell>
          <cell r="E18" t="str">
            <v/>
          </cell>
          <cell r="F18" t="str">
            <v>AINIBA</v>
          </cell>
          <cell r="G18" t="str">
            <v>R</v>
          </cell>
          <cell r="H18">
            <v>44917</v>
          </cell>
          <cell r="I18" t="str">
            <v xml:space="preserve">STANDARD </v>
          </cell>
          <cell r="J18">
            <v>1993000489</v>
          </cell>
          <cell r="K18" t="str">
            <v>ARAFIK</v>
          </cell>
          <cell r="L18" t="str">
            <v>RFK</v>
          </cell>
          <cell r="M18">
            <v>2015469479</v>
          </cell>
          <cell r="N18" t="str">
            <v>IRFAN ALDRICK KANA</v>
          </cell>
          <cell r="O18" t="str">
            <v>INK</v>
          </cell>
          <cell r="P18" t="str">
            <v>idmTSUV@kpg.indomaret.co.id</v>
          </cell>
          <cell r="Q18" t="str">
            <v>KOD. KUPANG</v>
          </cell>
          <cell r="R18" t="str">
            <v>SDS</v>
          </cell>
        </row>
        <row r="19">
          <cell r="D19" t="str">
            <v>TUWA</v>
          </cell>
          <cell r="E19" t="str">
            <v/>
          </cell>
          <cell r="F19" t="str">
            <v>TIMOR RAYA KM. 10</v>
          </cell>
          <cell r="G19" t="str">
            <v>R</v>
          </cell>
          <cell r="H19">
            <v>44895</v>
          </cell>
          <cell r="I19" t="str">
            <v xml:space="preserve">STANDARD </v>
          </cell>
          <cell r="J19">
            <v>1993000489</v>
          </cell>
          <cell r="K19" t="str">
            <v>ARAFIK</v>
          </cell>
          <cell r="L19" t="str">
            <v>RFK</v>
          </cell>
          <cell r="M19">
            <v>2015469479</v>
          </cell>
          <cell r="N19" t="str">
            <v>IRFAN ALDRICK KANA</v>
          </cell>
          <cell r="O19" t="str">
            <v>INK</v>
          </cell>
          <cell r="P19" t="str">
            <v>idmTUWA@kpg.indomaret.co.id</v>
          </cell>
          <cell r="Q19" t="str">
            <v>KOD. KUPANG</v>
          </cell>
          <cell r="R19" t="str">
            <v>SDS</v>
          </cell>
        </row>
        <row r="20">
          <cell r="D20" t="str">
            <v>T1DW</v>
          </cell>
          <cell r="E20" t="str">
            <v/>
          </cell>
          <cell r="F20" t="str">
            <v>R. E. MARTADINATA BELU</v>
          </cell>
          <cell r="G20" t="str">
            <v>R</v>
          </cell>
          <cell r="H20">
            <v>45565</v>
          </cell>
          <cell r="I20" t="str">
            <v xml:space="preserve">STANDARD </v>
          </cell>
          <cell r="J20">
            <v>1993000489</v>
          </cell>
          <cell r="K20" t="str">
            <v>ARAFIK</v>
          </cell>
          <cell r="L20" t="str">
            <v>RFK</v>
          </cell>
          <cell r="M20">
            <v>2013048071</v>
          </cell>
          <cell r="N20" t="str">
            <v>PUJIANTO</v>
          </cell>
          <cell r="O20" t="str">
            <v>PJO</v>
          </cell>
          <cell r="P20" t="str">
            <v>idmT1DW@kpg.indomaret.co.id</v>
          </cell>
          <cell r="Q20" t="str">
            <v>KAB. BELU</v>
          </cell>
          <cell r="R20" t="str">
            <v>SDS</v>
          </cell>
        </row>
        <row r="21">
          <cell r="D21" t="str">
            <v>TBY5</v>
          </cell>
          <cell r="E21" t="str">
            <v/>
          </cell>
          <cell r="F21" t="str">
            <v>RAYA ATAMBUA</v>
          </cell>
          <cell r="G21" t="str">
            <v>R</v>
          </cell>
          <cell r="H21">
            <v>45289</v>
          </cell>
          <cell r="I21" t="str">
            <v xml:space="preserve">STANDARD </v>
          </cell>
          <cell r="J21">
            <v>1993000489</v>
          </cell>
          <cell r="K21" t="str">
            <v>ARAFIK</v>
          </cell>
          <cell r="L21" t="str">
            <v>RFK</v>
          </cell>
          <cell r="M21">
            <v>2013048071</v>
          </cell>
          <cell r="N21" t="str">
            <v>PUJIANTO</v>
          </cell>
          <cell r="O21" t="str">
            <v>PJO</v>
          </cell>
          <cell r="P21" t="str">
            <v>idmTBY5@kpg.indomaret.co.id</v>
          </cell>
          <cell r="Q21" t="str">
            <v>KAB. BELU</v>
          </cell>
          <cell r="R21" t="str">
            <v>SDS</v>
          </cell>
        </row>
        <row r="22">
          <cell r="D22" t="str">
            <v>TDP9</v>
          </cell>
          <cell r="E22"/>
          <cell r="F22" t="str">
            <v>RAYA HALILULIK</v>
          </cell>
          <cell r="G22" t="str">
            <v>R</v>
          </cell>
          <cell r="H22">
            <v>46094</v>
          </cell>
          <cell r="I22" t="str">
            <v xml:space="preserve">STANDARD </v>
          </cell>
          <cell r="J22">
            <v>1993000489</v>
          </cell>
          <cell r="K22" t="str">
            <v>ARAFIK</v>
          </cell>
          <cell r="L22" t="str">
            <v>RFK</v>
          </cell>
          <cell r="M22">
            <v>2013048071</v>
          </cell>
          <cell r="N22" t="str">
            <v>PUJIANTO</v>
          </cell>
          <cell r="O22" t="str">
            <v>PJO</v>
          </cell>
          <cell r="P22" t="str">
            <v>idmTDP9@kpg.indomaret.co.id</v>
          </cell>
          <cell r="Q22" t="str">
            <v>KAB. BELU</v>
          </cell>
          <cell r="R22" t="str">
            <v>SDS</v>
          </cell>
        </row>
        <row r="23">
          <cell r="D23" t="str">
            <v>TJAX</v>
          </cell>
          <cell r="E23" t="str">
            <v/>
          </cell>
          <cell r="F23" t="str">
            <v>MARSDA ADI SUCIPTO TENUKIIK</v>
          </cell>
          <cell r="G23" t="str">
            <v>R</v>
          </cell>
          <cell r="H23">
            <v>45513</v>
          </cell>
          <cell r="I23" t="str">
            <v xml:space="preserve">STANDARD </v>
          </cell>
          <cell r="J23">
            <v>1993000489</v>
          </cell>
          <cell r="K23" t="str">
            <v>ARAFIK</v>
          </cell>
          <cell r="L23" t="str">
            <v>RFK</v>
          </cell>
          <cell r="M23">
            <v>2013048071</v>
          </cell>
          <cell r="N23" t="str">
            <v>PUJIANTO</v>
          </cell>
          <cell r="O23" t="str">
            <v>PJO</v>
          </cell>
          <cell r="P23" t="str">
            <v>idmTJAX@kpg.indomaret.co.id</v>
          </cell>
          <cell r="Q23" t="str">
            <v>KAB. BELU</v>
          </cell>
          <cell r="R23" t="str">
            <v>SDS</v>
          </cell>
        </row>
        <row r="24">
          <cell r="D24" t="str">
            <v>TKEA</v>
          </cell>
          <cell r="E24" t="str">
            <v/>
          </cell>
          <cell r="F24" t="str">
            <v>KEFAMENANU TTU</v>
          </cell>
          <cell r="G24" t="str">
            <v>R</v>
          </cell>
          <cell r="H24">
            <v>45236</v>
          </cell>
          <cell r="I24" t="str">
            <v>STANDARD NEW</v>
          </cell>
          <cell r="J24">
            <v>1993000489</v>
          </cell>
          <cell r="K24" t="str">
            <v>ARAFIK</v>
          </cell>
          <cell r="L24" t="str">
            <v>RFK</v>
          </cell>
          <cell r="M24">
            <v>2013048071</v>
          </cell>
          <cell r="N24" t="str">
            <v>PUJIANTO</v>
          </cell>
          <cell r="O24" t="str">
            <v>PJO</v>
          </cell>
          <cell r="P24" t="str">
            <v>idmTKEA@kpg.indomaret.co.id</v>
          </cell>
          <cell r="Q24" t="str">
            <v>KAB. TIMOR TENGAH UTARA</v>
          </cell>
          <cell r="R24" t="str">
            <v>SDN</v>
          </cell>
        </row>
        <row r="25">
          <cell r="D25" t="str">
            <v>TQ4M</v>
          </cell>
          <cell r="E25" t="str">
            <v/>
          </cell>
          <cell r="F25" t="str">
            <v>A YANI TTU</v>
          </cell>
          <cell r="G25" t="str">
            <v>R</v>
          </cell>
          <cell r="H25">
            <v>45258</v>
          </cell>
          <cell r="I25" t="str">
            <v xml:space="preserve">STANDARD </v>
          </cell>
          <cell r="J25">
            <v>1993000489</v>
          </cell>
          <cell r="K25" t="str">
            <v>ARAFIK</v>
          </cell>
          <cell r="L25" t="str">
            <v>RFK</v>
          </cell>
          <cell r="M25">
            <v>2013048071</v>
          </cell>
          <cell r="N25" t="str">
            <v>PUJIANTO</v>
          </cell>
          <cell r="O25" t="str">
            <v>PJO</v>
          </cell>
          <cell r="P25" t="str">
            <v>idmTQ4M@kpg.indomaret.co.id</v>
          </cell>
          <cell r="Q25" t="str">
            <v>KAB. TIMOR TENGAH UTARA</v>
          </cell>
          <cell r="R25" t="str">
            <v>SDS</v>
          </cell>
        </row>
        <row r="26">
          <cell r="D26" t="str">
            <v>TQ6C</v>
          </cell>
          <cell r="E26" t="str">
            <v/>
          </cell>
          <cell r="F26" t="str">
            <v>KASIMO BEIRAFU ATAMBUA BELU</v>
          </cell>
          <cell r="G26" t="str">
            <v>R</v>
          </cell>
          <cell r="H26">
            <v>45268</v>
          </cell>
          <cell r="I26" t="str">
            <v>STANDARD NEW</v>
          </cell>
          <cell r="J26">
            <v>1993000489</v>
          </cell>
          <cell r="K26" t="str">
            <v>ARAFIK</v>
          </cell>
          <cell r="L26" t="str">
            <v>RFK</v>
          </cell>
          <cell r="M26">
            <v>2013048071</v>
          </cell>
          <cell r="N26" t="str">
            <v>PUJIANTO</v>
          </cell>
          <cell r="O26" t="str">
            <v>PJO</v>
          </cell>
          <cell r="P26" t="str">
            <v>idmTQ6C@kpg.indomaret.co.id</v>
          </cell>
          <cell r="Q26" t="str">
            <v>KAB. BELU</v>
          </cell>
          <cell r="R26" t="str">
            <v>SDN</v>
          </cell>
        </row>
        <row r="27">
          <cell r="D27" t="str">
            <v>TUI0</v>
          </cell>
          <cell r="E27" t="str">
            <v/>
          </cell>
          <cell r="F27" t="str">
            <v>IJ KASIMO</v>
          </cell>
          <cell r="G27" t="str">
            <v>R</v>
          </cell>
          <cell r="H27">
            <v>45596</v>
          </cell>
          <cell r="I27" t="str">
            <v xml:space="preserve">STANDARD </v>
          </cell>
          <cell r="J27">
            <v>1993000489</v>
          </cell>
          <cell r="K27" t="str">
            <v>ARAFIK</v>
          </cell>
          <cell r="L27" t="str">
            <v>RFK</v>
          </cell>
          <cell r="M27">
            <v>2013048071</v>
          </cell>
          <cell r="N27" t="str">
            <v>PUJIANTO</v>
          </cell>
          <cell r="O27" t="str">
            <v>PJO</v>
          </cell>
          <cell r="P27" t="str">
            <v>idmTUIO@kpg.indomaret.co.id</v>
          </cell>
          <cell r="Q27" t="str">
            <v>KAB. BELU</v>
          </cell>
          <cell r="R27" t="str">
            <v>SDS</v>
          </cell>
        </row>
        <row r="28">
          <cell r="D28" t="str">
            <v>TV0M</v>
          </cell>
          <cell r="E28" t="str">
            <v/>
          </cell>
          <cell r="F28" t="str">
            <v>HM.YAMIN ATAMBUA</v>
          </cell>
          <cell r="G28" t="str">
            <v>R</v>
          </cell>
          <cell r="H28">
            <v>45288</v>
          </cell>
          <cell r="I28" t="str">
            <v xml:space="preserve">STANDARD </v>
          </cell>
          <cell r="J28">
            <v>1993000489</v>
          </cell>
          <cell r="K28" t="str">
            <v>ARAFIK</v>
          </cell>
          <cell r="L28" t="str">
            <v>RFK</v>
          </cell>
          <cell r="M28">
            <v>2013048071</v>
          </cell>
          <cell r="N28" t="str">
            <v>PUJIANTO</v>
          </cell>
          <cell r="O28" t="str">
            <v>PJO</v>
          </cell>
          <cell r="P28" t="str">
            <v>idmTV0M@kpg.indomaret.co.id</v>
          </cell>
          <cell r="Q28" t="str">
            <v>KAB. BELU</v>
          </cell>
          <cell r="R28" t="str">
            <v>SDS</v>
          </cell>
        </row>
        <row r="29">
          <cell r="D29" t="str">
            <v>TYWS</v>
          </cell>
          <cell r="E29" t="str">
            <v/>
          </cell>
          <cell r="F29" t="str">
            <v>MERDEKA ATAMBUA - BELU</v>
          </cell>
          <cell r="G29" t="str">
            <v>R</v>
          </cell>
          <cell r="H29">
            <v>45288</v>
          </cell>
          <cell r="I29" t="str">
            <v>STANDARD NEW</v>
          </cell>
          <cell r="J29">
            <v>1993000489</v>
          </cell>
          <cell r="K29" t="str">
            <v>ARAFIK</v>
          </cell>
          <cell r="L29" t="str">
            <v>RFK</v>
          </cell>
          <cell r="M29">
            <v>2013048071</v>
          </cell>
          <cell r="N29" t="str">
            <v>PUJIANTO</v>
          </cell>
          <cell r="O29" t="str">
            <v>PJO</v>
          </cell>
          <cell r="P29" t="str">
            <v>idmTWYS@kpg.indomaret.co.id</v>
          </cell>
          <cell r="Q29" t="str">
            <v>KAB. BELU</v>
          </cell>
          <cell r="R29" t="str">
            <v>SDN</v>
          </cell>
        </row>
        <row r="30">
          <cell r="D30" t="str">
            <v>T2JY</v>
          </cell>
          <cell r="E30"/>
          <cell r="F30" t="str">
            <v>LINTAS OINLASI</v>
          </cell>
          <cell r="G30" t="str">
            <v>R</v>
          </cell>
          <cell r="H30">
            <v>46017</v>
          </cell>
          <cell r="I30" t="str">
            <v>STANDARD NEW</v>
          </cell>
          <cell r="J30">
            <v>1993000489</v>
          </cell>
          <cell r="K30" t="str">
            <v>ARAFIK</v>
          </cell>
          <cell r="L30" t="str">
            <v>RFK</v>
          </cell>
          <cell r="M30">
            <v>2015469476</v>
          </cell>
          <cell r="N30" t="str">
            <v>RHAZILUN MARSYAHID BADU</v>
          </cell>
          <cell r="O30" t="str">
            <v>RMB</v>
          </cell>
          <cell r="P30" t="str">
            <v>idmT2JY@kpg.indomaret.co.id</v>
          </cell>
          <cell r="Q30" t="str">
            <v>KAB. TIMOR TENGAH SELATAN</v>
          </cell>
          <cell r="R30" t="str">
            <v>SDN</v>
          </cell>
        </row>
        <row r="31">
          <cell r="D31" t="str">
            <v>T6AH</v>
          </cell>
          <cell r="E31" t="str">
            <v/>
          </cell>
          <cell r="F31" t="str">
            <v>HAYAM WURUK SOE - TTS</v>
          </cell>
          <cell r="G31" t="str">
            <v>R</v>
          </cell>
          <cell r="H31">
            <v>45053</v>
          </cell>
          <cell r="I31" t="str">
            <v xml:space="preserve">STANDARD </v>
          </cell>
          <cell r="J31">
            <v>1993000489</v>
          </cell>
          <cell r="K31" t="str">
            <v>ARAFIK</v>
          </cell>
          <cell r="L31" t="str">
            <v>RFK</v>
          </cell>
          <cell r="M31">
            <v>2015469476</v>
          </cell>
          <cell r="N31" t="str">
            <v>RHAZILUN MARSYAHID BADU</v>
          </cell>
          <cell r="O31" t="str">
            <v>RMB</v>
          </cell>
          <cell r="P31" t="str">
            <v>idmT6AH@kpg.indomaret.co.id</v>
          </cell>
          <cell r="Q31" t="str">
            <v>KAB. TIMOR TENGAH SELATAN</v>
          </cell>
          <cell r="R31" t="str">
            <v>SDS</v>
          </cell>
        </row>
        <row r="32">
          <cell r="D32" t="str">
            <v>T9RY</v>
          </cell>
          <cell r="E32" t="str">
            <v/>
          </cell>
          <cell r="F32" t="str">
            <v>TR CAMPLONG I</v>
          </cell>
          <cell r="G32" t="str">
            <v>R</v>
          </cell>
          <cell r="H32">
            <v>45287</v>
          </cell>
          <cell r="I32" t="str">
            <v xml:space="preserve">STANDARD </v>
          </cell>
          <cell r="J32">
            <v>1993000489</v>
          </cell>
          <cell r="K32" t="str">
            <v>ARAFIK</v>
          </cell>
          <cell r="L32" t="str">
            <v>RFK</v>
          </cell>
          <cell r="M32">
            <v>2015469476</v>
          </cell>
          <cell r="N32" t="str">
            <v>RHAZILUN MARSYAHID BADU</v>
          </cell>
          <cell r="O32" t="str">
            <v>RMB</v>
          </cell>
          <cell r="P32" t="str">
            <v>idmT9RY@kpg.indomaret.co.id</v>
          </cell>
          <cell r="Q32" t="str">
            <v>KAB. KUPANG</v>
          </cell>
          <cell r="R32" t="str">
            <v>SDS</v>
          </cell>
        </row>
        <row r="33">
          <cell r="D33" t="str">
            <v>TC8O</v>
          </cell>
          <cell r="E33" t="str">
            <v/>
          </cell>
          <cell r="F33" t="str">
            <v>BUMI 1 LILIBA</v>
          </cell>
          <cell r="G33" t="str">
            <v>R</v>
          </cell>
          <cell r="H33">
            <v>44915</v>
          </cell>
          <cell r="I33" t="str">
            <v>STANDARD NEW</v>
          </cell>
          <cell r="J33">
            <v>1993000489</v>
          </cell>
          <cell r="K33" t="str">
            <v>ARAFIK</v>
          </cell>
          <cell r="L33" t="str">
            <v>RFK</v>
          </cell>
          <cell r="M33">
            <v>2015469476</v>
          </cell>
          <cell r="N33" t="str">
            <v>RHAZILUN MARSYAHID BADU</v>
          </cell>
          <cell r="O33" t="str">
            <v>RMB</v>
          </cell>
          <cell r="P33" t="str">
            <v>idmTC8O@kpg.indomaret.co.id</v>
          </cell>
          <cell r="Q33" t="str">
            <v>KOD. KUPANG</v>
          </cell>
          <cell r="R33" t="str">
            <v>SDN</v>
          </cell>
        </row>
        <row r="34">
          <cell r="D34" t="str">
            <v>TE9I</v>
          </cell>
          <cell r="E34" t="str">
            <v/>
          </cell>
          <cell r="F34" t="str">
            <v>A YANI SOE</v>
          </cell>
          <cell r="G34" t="str">
            <v>R</v>
          </cell>
          <cell r="H34">
            <v>45044</v>
          </cell>
          <cell r="I34" t="str">
            <v xml:space="preserve">STANDARD </v>
          </cell>
          <cell r="J34">
            <v>1993000489</v>
          </cell>
          <cell r="K34" t="str">
            <v>ARAFIK</v>
          </cell>
          <cell r="L34" t="str">
            <v>RFK</v>
          </cell>
          <cell r="M34">
            <v>2015469476</v>
          </cell>
          <cell r="N34" t="str">
            <v>RHAZILUN MARSYAHID BADU</v>
          </cell>
          <cell r="O34" t="str">
            <v>RMB</v>
          </cell>
          <cell r="P34" t="str">
            <v>idmTE9I@kpg.indomaret.co.id</v>
          </cell>
          <cell r="Q34" t="str">
            <v>KAB. TIMOR TENGAH SELATAN</v>
          </cell>
          <cell r="R34" t="str">
            <v>SDS</v>
          </cell>
        </row>
        <row r="35">
          <cell r="D35" t="str">
            <v>TFYM</v>
          </cell>
          <cell r="E35" t="str">
            <v/>
          </cell>
          <cell r="F35" t="str">
            <v>AHMAD YANI</v>
          </cell>
          <cell r="G35" t="str">
            <v>R</v>
          </cell>
          <cell r="H35">
            <v>45249</v>
          </cell>
          <cell r="I35" t="str">
            <v xml:space="preserve">STANDARD </v>
          </cell>
          <cell r="J35">
            <v>1993000489</v>
          </cell>
          <cell r="K35" t="str">
            <v>ARAFIK</v>
          </cell>
          <cell r="L35" t="str">
            <v>RFK</v>
          </cell>
          <cell r="M35">
            <v>2015469476</v>
          </cell>
          <cell r="N35" t="str">
            <v>RHAZILUN MARSYAHID BADU</v>
          </cell>
          <cell r="O35" t="str">
            <v>RMB</v>
          </cell>
          <cell r="P35" t="str">
            <v>idmTFYM@kpg.indomaret.co.id</v>
          </cell>
          <cell r="Q35" t="str">
            <v>KAB. TIMOR TENGAH SELATAN</v>
          </cell>
          <cell r="R35" t="str">
            <v>SDS</v>
          </cell>
        </row>
        <row r="36">
          <cell r="D36" t="str">
            <v>TG5Z</v>
          </cell>
          <cell r="E36" t="str">
            <v/>
          </cell>
          <cell r="F36" t="str">
            <v>ELTARI KM.7 TTU</v>
          </cell>
          <cell r="G36" t="str">
            <v>R</v>
          </cell>
          <cell r="H36">
            <v>45351</v>
          </cell>
          <cell r="I36" t="str">
            <v xml:space="preserve">STANDARD </v>
          </cell>
          <cell r="J36">
            <v>1993000489</v>
          </cell>
          <cell r="K36" t="str">
            <v>ARAFIK</v>
          </cell>
          <cell r="L36" t="str">
            <v>RFK</v>
          </cell>
          <cell r="M36">
            <v>2015469476</v>
          </cell>
          <cell r="N36" t="str">
            <v>RHAZILUN MARSYAHID BADU</v>
          </cell>
          <cell r="O36" t="str">
            <v>RMB</v>
          </cell>
          <cell r="P36" t="str">
            <v>idmTG5Z@kpg.indomaret.co.id</v>
          </cell>
          <cell r="Q36" t="str">
            <v>KAB. TIMOR TENGAH UTARA</v>
          </cell>
          <cell r="R36" t="str">
            <v>SDS</v>
          </cell>
        </row>
        <row r="37">
          <cell r="D37" t="str">
            <v>TQ2Z</v>
          </cell>
          <cell r="E37" t="str">
            <v/>
          </cell>
          <cell r="F37" t="str">
            <v>TAKARI</v>
          </cell>
          <cell r="G37" t="str">
            <v>R</v>
          </cell>
          <cell r="H37">
            <v>45087</v>
          </cell>
          <cell r="I37" t="str">
            <v>STANDARD NEW</v>
          </cell>
          <cell r="J37">
            <v>1993000489</v>
          </cell>
          <cell r="K37" t="str">
            <v>ARAFIK</v>
          </cell>
          <cell r="L37" t="str">
            <v>RFK</v>
          </cell>
          <cell r="M37">
            <v>2015469476</v>
          </cell>
          <cell r="N37" t="str">
            <v>RHAZILUN MARSYAHID BADU</v>
          </cell>
          <cell r="O37" t="str">
            <v>RMB</v>
          </cell>
          <cell r="P37" t="str">
            <v>idmTQ2Z@kpg.indomaret.co.id</v>
          </cell>
          <cell r="Q37" t="str">
            <v>KAB. KUPANG</v>
          </cell>
          <cell r="R37" t="str">
            <v>SDN</v>
          </cell>
        </row>
        <row r="38">
          <cell r="D38" t="str">
            <v>TV2H</v>
          </cell>
          <cell r="E38" t="str">
            <v/>
          </cell>
          <cell r="F38" t="str">
            <v>KARTINI KEFA</v>
          </cell>
          <cell r="G38" t="str">
            <v>R</v>
          </cell>
          <cell r="H38">
            <v>45247</v>
          </cell>
          <cell r="I38" t="str">
            <v xml:space="preserve">STANDARD </v>
          </cell>
          <cell r="J38">
            <v>1993000489</v>
          </cell>
          <cell r="K38" t="str">
            <v>ARAFIK</v>
          </cell>
          <cell r="L38" t="str">
            <v>RFK</v>
          </cell>
          <cell r="M38">
            <v>2015469476</v>
          </cell>
          <cell r="N38" t="str">
            <v>RHAZILUN MARSYAHID BADU</v>
          </cell>
          <cell r="O38" t="str">
            <v>RMB</v>
          </cell>
          <cell r="P38" t="str">
            <v>idmTV2H@kpg.indomaret.co.id</v>
          </cell>
          <cell r="Q38" t="str">
            <v>KAB. TIMOR TENGAH UTARA</v>
          </cell>
          <cell r="R38" t="str">
            <v>SDS</v>
          </cell>
        </row>
        <row r="39">
          <cell r="D39" t="str">
            <v>TVB9</v>
          </cell>
          <cell r="E39" t="str">
            <v/>
          </cell>
          <cell r="F39" t="str">
            <v>DIPONEGORO SOE</v>
          </cell>
          <cell r="G39" t="str">
            <v>R</v>
          </cell>
          <cell r="H39">
            <v>45929</v>
          </cell>
          <cell r="I39" t="str">
            <v xml:space="preserve">STANDARD </v>
          </cell>
          <cell r="J39">
            <v>1993000489</v>
          </cell>
          <cell r="K39" t="str">
            <v>ARAFIK</v>
          </cell>
          <cell r="L39" t="str">
            <v>RFK</v>
          </cell>
          <cell r="M39">
            <v>2015469476</v>
          </cell>
          <cell r="N39" t="str">
            <v>RHAZILUN MARSYAHID BADU</v>
          </cell>
          <cell r="O39" t="str">
            <v>RMB</v>
          </cell>
          <cell r="P39" t="str">
            <v>idmTVB9@kpg.indomaret.co.id</v>
          </cell>
          <cell r="Q39" t="str">
            <v>KAB. TIMUR TENGAH SELATAN</v>
          </cell>
          <cell r="R39" t="str">
            <v>SDS</v>
          </cell>
        </row>
        <row r="40">
          <cell r="D40" t="str">
            <v>TYP0</v>
          </cell>
          <cell r="E40" t="str">
            <v/>
          </cell>
          <cell r="F40" t="str">
            <v>ELTARI KM 3 TTU</v>
          </cell>
          <cell r="G40" t="str">
            <v>R</v>
          </cell>
          <cell r="H40">
            <v>45259</v>
          </cell>
          <cell r="I40" t="str">
            <v xml:space="preserve">STANDARD </v>
          </cell>
          <cell r="J40">
            <v>1993000489</v>
          </cell>
          <cell r="K40" t="str">
            <v>ARAFIK</v>
          </cell>
          <cell r="L40" t="str">
            <v>RFK</v>
          </cell>
          <cell r="M40">
            <v>2015469476</v>
          </cell>
          <cell r="N40" t="str">
            <v>RHAZILUN MARSYAHID BADU</v>
          </cell>
          <cell r="O40" t="str">
            <v>RMB</v>
          </cell>
          <cell r="P40" t="str">
            <v>idmTyp0@kpg.indomaret.co.id</v>
          </cell>
          <cell r="Q40" t="str">
            <v>KAB. TIMOR TENGAH UTARA</v>
          </cell>
          <cell r="R40" t="str">
            <v>SDS</v>
          </cell>
        </row>
        <row r="41">
          <cell r="D41" t="str">
            <v>TZ3S</v>
          </cell>
          <cell r="E41" t="str">
            <v/>
          </cell>
          <cell r="F41" t="str">
            <v>POLLO AMSEL</v>
          </cell>
          <cell r="G41" t="str">
            <v>R</v>
          </cell>
          <cell r="H41">
            <v>45832</v>
          </cell>
          <cell r="I41" t="str">
            <v xml:space="preserve">STANDARD </v>
          </cell>
          <cell r="J41">
            <v>1993000489</v>
          </cell>
          <cell r="K41" t="str">
            <v>ARAFIK</v>
          </cell>
          <cell r="L41" t="str">
            <v>RFK</v>
          </cell>
          <cell r="M41">
            <v>2015469476</v>
          </cell>
          <cell r="N41" t="str">
            <v>RHAZILUN MARSYAHID BADU</v>
          </cell>
          <cell r="O41" t="str">
            <v>RMB</v>
          </cell>
          <cell r="P41" t="str">
            <v>idmTZ3S@kpg.indomaret.co.id</v>
          </cell>
          <cell r="Q41" t="str">
            <v>KAB. TIMUR TENGAH SELATAN</v>
          </cell>
          <cell r="R41" t="str">
            <v>SDS</v>
          </cell>
        </row>
        <row r="42">
          <cell r="D42" t="str">
            <v>T0UB</v>
          </cell>
          <cell r="E42" t="str">
            <v/>
          </cell>
          <cell r="F42" t="str">
            <v>PAHLAWAN ALAK</v>
          </cell>
          <cell r="G42" t="str">
            <v>R</v>
          </cell>
          <cell r="H42">
            <v>45041</v>
          </cell>
          <cell r="I42" t="str">
            <v xml:space="preserve">STANDARD </v>
          </cell>
          <cell r="J42">
            <v>1993000489</v>
          </cell>
          <cell r="K42" t="str">
            <v>ARAFIK</v>
          </cell>
          <cell r="L42" t="str">
            <v>RFK</v>
          </cell>
          <cell r="M42">
            <v>2004003122</v>
          </cell>
          <cell r="N42" t="str">
            <v>SIGIT YULIANTO</v>
          </cell>
          <cell r="O42" t="str">
            <v>SGY</v>
          </cell>
          <cell r="P42" t="str">
            <v>idmT0UB@kpg.indomaret.co.id</v>
          </cell>
          <cell r="Q42" t="str">
            <v>KOD. KUPANG</v>
          </cell>
          <cell r="R42" t="str">
            <v>SDS</v>
          </cell>
        </row>
        <row r="43">
          <cell r="D43" t="str">
            <v>T2WX</v>
          </cell>
          <cell r="E43" t="str">
            <v/>
          </cell>
          <cell r="F43" t="str">
            <v>AMABI TOFA MAULAFA</v>
          </cell>
          <cell r="G43" t="str">
            <v>R</v>
          </cell>
          <cell r="H43">
            <v>44802</v>
          </cell>
          <cell r="I43" t="str">
            <v xml:space="preserve">STANDARD </v>
          </cell>
          <cell r="J43">
            <v>1993000489</v>
          </cell>
          <cell r="K43" t="str">
            <v>ARAFIK</v>
          </cell>
          <cell r="L43" t="str">
            <v>RFK</v>
          </cell>
          <cell r="M43">
            <v>2004003122</v>
          </cell>
          <cell r="N43" t="str">
            <v>SIGIT YULIANTO</v>
          </cell>
          <cell r="O43" t="str">
            <v>SGY</v>
          </cell>
          <cell r="P43" t="str">
            <v>idmT2WX@kpg.indomaret.co.id</v>
          </cell>
          <cell r="Q43" t="str">
            <v>KOD. KUPANG</v>
          </cell>
          <cell r="R43" t="str">
            <v>SDS</v>
          </cell>
        </row>
        <row r="44">
          <cell r="D44" t="str">
            <v>T3AX</v>
          </cell>
          <cell r="E44" t="str">
            <v/>
          </cell>
          <cell r="F44" t="str">
            <v>OELATA RAYA</v>
          </cell>
          <cell r="G44" t="str">
            <v>R</v>
          </cell>
          <cell r="H44">
            <v>44860</v>
          </cell>
          <cell r="I44" t="str">
            <v xml:space="preserve">STANDARD </v>
          </cell>
          <cell r="J44">
            <v>1993000489</v>
          </cell>
          <cell r="K44" t="str">
            <v>ARAFIK</v>
          </cell>
          <cell r="L44" t="str">
            <v>RFK</v>
          </cell>
          <cell r="M44">
            <v>2004003122</v>
          </cell>
          <cell r="N44" t="str">
            <v>SIGIT YULIANTO</v>
          </cell>
          <cell r="O44" t="str">
            <v>SGY</v>
          </cell>
          <cell r="P44" t="str">
            <v>idmT3AX@kpg.indomaret.co.id</v>
          </cell>
          <cell r="Q44" t="str">
            <v>KOD. KUPANG</v>
          </cell>
          <cell r="R44" t="str">
            <v>SDS</v>
          </cell>
        </row>
        <row r="45">
          <cell r="D45" t="str">
            <v>T47C</v>
          </cell>
          <cell r="E45" t="str">
            <v/>
          </cell>
          <cell r="F45" t="str">
            <v>HR KOROH SIKUMANA</v>
          </cell>
          <cell r="G45" t="str">
            <v>R</v>
          </cell>
          <cell r="H45">
            <v>45016</v>
          </cell>
          <cell r="I45" t="str">
            <v xml:space="preserve">STANDARD </v>
          </cell>
          <cell r="J45">
            <v>1993000489</v>
          </cell>
          <cell r="K45" t="str">
            <v>ARAFIK</v>
          </cell>
          <cell r="L45" t="str">
            <v>RFK</v>
          </cell>
          <cell r="M45">
            <v>2004003122</v>
          </cell>
          <cell r="N45" t="str">
            <v>SIGIT YULIANTO</v>
          </cell>
          <cell r="O45" t="str">
            <v>SGY</v>
          </cell>
          <cell r="P45" t="str">
            <v>idmT47C@kpg.indomaret.co.id</v>
          </cell>
          <cell r="Q45" t="str">
            <v>KOD. KUPANG</v>
          </cell>
          <cell r="R45" t="str">
            <v>SDS</v>
          </cell>
        </row>
        <row r="46">
          <cell r="D46" t="str">
            <v>T79P</v>
          </cell>
          <cell r="E46" t="str">
            <v/>
          </cell>
          <cell r="F46" t="str">
            <v>HR KOROH BELLO</v>
          </cell>
          <cell r="G46" t="str">
            <v>R</v>
          </cell>
          <cell r="H46">
            <v>45137</v>
          </cell>
          <cell r="I46" t="str">
            <v xml:space="preserve">STANDARD </v>
          </cell>
          <cell r="J46">
            <v>1993000489</v>
          </cell>
          <cell r="K46" t="str">
            <v>ARAFIK</v>
          </cell>
          <cell r="L46" t="str">
            <v>RFK</v>
          </cell>
          <cell r="M46">
            <v>2004003122</v>
          </cell>
          <cell r="N46" t="str">
            <v>SIGIT YULIANTO</v>
          </cell>
          <cell r="O46" t="str">
            <v>SGY</v>
          </cell>
          <cell r="P46" t="str">
            <v>idmT79P@kpg.indomaret.co.id</v>
          </cell>
          <cell r="Q46" t="str">
            <v>KOD. KUPANG</v>
          </cell>
          <cell r="R46" t="str">
            <v>SDS</v>
          </cell>
        </row>
        <row r="47">
          <cell r="D47" t="str">
            <v>TCGA</v>
          </cell>
          <cell r="E47" t="str">
            <v/>
          </cell>
          <cell r="F47" t="str">
            <v>FETOR FUNAY MAULAFA</v>
          </cell>
          <cell r="G47" t="str">
            <v>R</v>
          </cell>
          <cell r="H47">
            <v>45119</v>
          </cell>
          <cell r="I47" t="str">
            <v xml:space="preserve">STANDARD </v>
          </cell>
          <cell r="J47">
            <v>1993000489</v>
          </cell>
          <cell r="K47" t="str">
            <v>ARAFIK</v>
          </cell>
          <cell r="L47" t="str">
            <v>RFK</v>
          </cell>
          <cell r="M47">
            <v>2004003122</v>
          </cell>
          <cell r="N47" t="str">
            <v>SIGIT YULIANTO</v>
          </cell>
          <cell r="O47" t="str">
            <v>SGY</v>
          </cell>
          <cell r="P47" t="str">
            <v>idmTCGA@kpg.indomaret.co.id</v>
          </cell>
          <cell r="Q47" t="str">
            <v>KOD. KUPANG</v>
          </cell>
          <cell r="R47" t="str">
            <v>SDS</v>
          </cell>
        </row>
        <row r="48">
          <cell r="D48" t="str">
            <v>TCWJ</v>
          </cell>
          <cell r="E48" t="str">
            <v/>
          </cell>
          <cell r="F48" t="str">
            <v>LINGKAR LUAR 40</v>
          </cell>
          <cell r="G48" t="str">
            <v>R</v>
          </cell>
          <cell r="H48">
            <v>45624</v>
          </cell>
          <cell r="I48" t="str">
            <v>STANDARD NEW</v>
          </cell>
          <cell r="J48">
            <v>1993000489</v>
          </cell>
          <cell r="K48" t="str">
            <v>ARAFIK</v>
          </cell>
          <cell r="L48" t="str">
            <v>RFK</v>
          </cell>
          <cell r="M48">
            <v>2004003122</v>
          </cell>
          <cell r="N48" t="str">
            <v>SIGIT YULIANTO</v>
          </cell>
          <cell r="O48" t="str">
            <v>SGY</v>
          </cell>
          <cell r="P48" t="str">
            <v>idmTCWJ@kpg.indomaret.co.id</v>
          </cell>
          <cell r="Q48" t="str">
            <v>KOD. KUPANG</v>
          </cell>
          <cell r="R48" t="str">
            <v>SDN</v>
          </cell>
        </row>
        <row r="49">
          <cell r="D49" t="str">
            <v>TE1Y</v>
          </cell>
          <cell r="E49" t="str">
            <v/>
          </cell>
          <cell r="F49" t="str">
            <v>TAEBENU NAIMATA</v>
          </cell>
          <cell r="G49" t="str">
            <v>R</v>
          </cell>
          <cell r="H49">
            <v>44865</v>
          </cell>
          <cell r="I49" t="str">
            <v xml:space="preserve">STANDARD </v>
          </cell>
          <cell r="J49">
            <v>1993000489</v>
          </cell>
          <cell r="K49" t="str">
            <v>ARAFIK</v>
          </cell>
          <cell r="L49" t="str">
            <v>RFK</v>
          </cell>
          <cell r="M49">
            <v>2004003122</v>
          </cell>
          <cell r="N49" t="str">
            <v>SIGIT YULIANTO</v>
          </cell>
          <cell r="O49" t="str">
            <v>SGY</v>
          </cell>
          <cell r="P49" t="str">
            <v>idmTE1Y@kpg.indomaret.co.id</v>
          </cell>
          <cell r="Q49" t="str">
            <v>KOD. KUPANG</v>
          </cell>
          <cell r="R49" t="str">
            <v>SDS</v>
          </cell>
        </row>
        <row r="50">
          <cell r="D50" t="str">
            <v>TEYX</v>
          </cell>
          <cell r="E50" t="str">
            <v/>
          </cell>
          <cell r="F50" t="str">
            <v>YOS SUDARSO NAMOSAIN</v>
          </cell>
          <cell r="G50" t="str">
            <v>R</v>
          </cell>
          <cell r="H50">
            <v>44798</v>
          </cell>
          <cell r="I50" t="str">
            <v xml:space="preserve">STANDARD </v>
          </cell>
          <cell r="J50">
            <v>1993000489</v>
          </cell>
          <cell r="K50" t="str">
            <v>ARAFIK</v>
          </cell>
          <cell r="L50" t="str">
            <v>RFK</v>
          </cell>
          <cell r="M50">
            <v>2004003122</v>
          </cell>
          <cell r="N50" t="str">
            <v>SIGIT YULIANTO</v>
          </cell>
          <cell r="O50" t="str">
            <v>SGY</v>
          </cell>
          <cell r="P50" t="str">
            <v>idmTEYX@kpg.indomaret.co.id</v>
          </cell>
          <cell r="Q50" t="str">
            <v>KOD. KUPANG</v>
          </cell>
          <cell r="R50" t="str">
            <v>SDS</v>
          </cell>
        </row>
        <row r="51">
          <cell r="D51" t="str">
            <v>TG5D</v>
          </cell>
          <cell r="E51" t="str">
            <v/>
          </cell>
          <cell r="F51" t="str">
            <v>PENKASE NO. 28 ABC</v>
          </cell>
          <cell r="G51" t="str">
            <v>R</v>
          </cell>
          <cell r="H51">
            <v>44926</v>
          </cell>
          <cell r="I51" t="str">
            <v xml:space="preserve">STANDARD </v>
          </cell>
          <cell r="J51">
            <v>1993000489</v>
          </cell>
          <cell r="K51" t="str">
            <v>ARAFIK</v>
          </cell>
          <cell r="L51" t="str">
            <v>RFK</v>
          </cell>
          <cell r="M51">
            <v>2004003122</v>
          </cell>
          <cell r="N51" t="str">
            <v>SIGIT YULIANTO</v>
          </cell>
          <cell r="O51" t="str">
            <v>SGY</v>
          </cell>
          <cell r="P51" t="str">
            <v>idmTG5D@kpg.indomaret.co.id</v>
          </cell>
          <cell r="Q51" t="str">
            <v>KOD. KUPANG</v>
          </cell>
          <cell r="R51" t="str">
            <v>SDS</v>
          </cell>
        </row>
        <row r="52">
          <cell r="D52" t="str">
            <v>TG6T</v>
          </cell>
          <cell r="E52" t="str">
            <v/>
          </cell>
          <cell r="F52" t="str">
            <v>HR KOROH OEPURA</v>
          </cell>
          <cell r="G52" t="str">
            <v>R</v>
          </cell>
          <cell r="H52">
            <v>44841</v>
          </cell>
          <cell r="I52" t="str">
            <v>STANDARD NEW</v>
          </cell>
          <cell r="J52">
            <v>1993000489</v>
          </cell>
          <cell r="K52" t="str">
            <v>ARAFIK</v>
          </cell>
          <cell r="L52" t="str">
            <v>RFK</v>
          </cell>
          <cell r="M52">
            <v>2004003122</v>
          </cell>
          <cell r="N52" t="str">
            <v>SIGIT YULIANTO</v>
          </cell>
          <cell r="O52" t="str">
            <v>SGY</v>
          </cell>
          <cell r="P52" t="str">
            <v>idmTG6T@kpg.indomaret.co.id</v>
          </cell>
          <cell r="Q52" t="str">
            <v>KOD. KUPANG</v>
          </cell>
          <cell r="R52" t="str">
            <v>SDN</v>
          </cell>
        </row>
        <row r="53">
          <cell r="D53" t="str">
            <v>TN1H</v>
          </cell>
          <cell r="E53" t="str">
            <v/>
          </cell>
          <cell r="F53" t="str">
            <v>HR KOROH BAUN</v>
          </cell>
          <cell r="G53" t="str">
            <v>R</v>
          </cell>
          <cell r="H53">
            <v>45906</v>
          </cell>
          <cell r="I53" t="str">
            <v xml:space="preserve">STANDARD </v>
          </cell>
          <cell r="J53">
            <v>1993000489</v>
          </cell>
          <cell r="K53" t="str">
            <v>ARAFIK</v>
          </cell>
          <cell r="L53" t="str">
            <v>RFK</v>
          </cell>
          <cell r="M53">
            <v>2004003122</v>
          </cell>
          <cell r="N53" t="str">
            <v>SIGIT YULIANTO</v>
          </cell>
          <cell r="O53" t="str">
            <v>SGY</v>
          </cell>
          <cell r="P53" t="str">
            <v>idmTN1H@kpg.indomaret.co.id</v>
          </cell>
          <cell r="Q53" t="str">
            <v>KAB. KUPANG</v>
          </cell>
          <cell r="R53" t="str">
            <v>SDS</v>
          </cell>
        </row>
        <row r="54">
          <cell r="D54" t="str">
            <v>TS7P</v>
          </cell>
          <cell r="E54" t="str">
            <v/>
          </cell>
          <cell r="F54" t="str">
            <v>PAHLAWAN NUNBAUN SABU</v>
          </cell>
          <cell r="G54" t="str">
            <v>R</v>
          </cell>
          <cell r="H54">
            <v>44834</v>
          </cell>
          <cell r="I54" t="str">
            <v>STANDARD NEW</v>
          </cell>
          <cell r="J54">
            <v>1993000489</v>
          </cell>
          <cell r="K54" t="str">
            <v>ARAFIK</v>
          </cell>
          <cell r="L54" t="str">
            <v>RFK</v>
          </cell>
          <cell r="M54">
            <v>2004003122</v>
          </cell>
          <cell r="N54" t="str">
            <v>SIGIT YULIANTO</v>
          </cell>
          <cell r="O54" t="str">
            <v>SGY</v>
          </cell>
          <cell r="P54" t="str">
            <v>idmTS7P@kpg.indomaret.co.id</v>
          </cell>
          <cell r="Q54" t="str">
            <v>KOD. KUPANG</v>
          </cell>
          <cell r="R54" t="str">
            <v>SDN</v>
          </cell>
        </row>
        <row r="55">
          <cell r="D55" t="str">
            <v>TVJX</v>
          </cell>
          <cell r="E55" t="str">
            <v/>
          </cell>
          <cell r="F55" t="str">
            <v>WJ LALAMENTIK OEBUFU</v>
          </cell>
          <cell r="G55" t="str">
            <v>R</v>
          </cell>
          <cell r="H55">
            <v>44865</v>
          </cell>
          <cell r="I55" t="str">
            <v>STANDARD NEW</v>
          </cell>
          <cell r="J55">
            <v>1993000489</v>
          </cell>
          <cell r="K55" t="str">
            <v>ARAFIK</v>
          </cell>
          <cell r="L55" t="str">
            <v>RFK</v>
          </cell>
          <cell r="M55">
            <v>2004003122</v>
          </cell>
          <cell r="N55" t="str">
            <v>SIGIT YULIANTO</v>
          </cell>
          <cell r="O55" t="str">
            <v>SGY</v>
          </cell>
          <cell r="P55" t="str">
            <v>idmTVJX@kpg.indomaret.co.id</v>
          </cell>
          <cell r="Q55" t="str">
            <v>KOD. KUPANG</v>
          </cell>
          <cell r="R55" t="str">
            <v>SDN</v>
          </cell>
        </row>
        <row r="56">
          <cell r="D56" t="str">
            <v>TZM4</v>
          </cell>
          <cell r="E56" t="str">
            <v/>
          </cell>
          <cell r="F56" t="str">
            <v>FETOR FUNAY KOLHUA</v>
          </cell>
          <cell r="G56" t="str">
            <v>R</v>
          </cell>
          <cell r="H56">
            <v>44823</v>
          </cell>
          <cell r="I56" t="str">
            <v>STANDARD NEW</v>
          </cell>
          <cell r="J56">
            <v>1993000489</v>
          </cell>
          <cell r="K56" t="str">
            <v>ARAFIK</v>
          </cell>
          <cell r="L56" t="str">
            <v>RFK</v>
          </cell>
          <cell r="M56">
            <v>2004003122</v>
          </cell>
          <cell r="N56" t="str">
            <v>SIGIT YULIANTO</v>
          </cell>
          <cell r="O56" t="str">
            <v>SGY</v>
          </cell>
          <cell r="P56" t="str">
            <v>idmTZM4@kpg.indomaret.co.id</v>
          </cell>
          <cell r="Q56" t="str">
            <v>KOD. KUPANG</v>
          </cell>
          <cell r="R56" t="str">
            <v>SDN</v>
          </cell>
        </row>
        <row r="57">
          <cell r="D57" t="str">
            <v>T4EU</v>
          </cell>
          <cell r="E57"/>
          <cell r="F57" t="str">
            <v>AHMAD YANI</v>
          </cell>
          <cell r="G57" t="str">
            <v>R</v>
          </cell>
          <cell r="H57">
            <v>46022</v>
          </cell>
          <cell r="I57" t="str">
            <v>STANDARD NEW</v>
          </cell>
          <cell r="J57">
            <v>2010027958</v>
          </cell>
          <cell r="K57" t="str">
            <v>JULIMAN LASE</v>
          </cell>
          <cell r="L57" t="str">
            <v>JLE</v>
          </cell>
          <cell r="M57">
            <v>2015469470</v>
          </cell>
          <cell r="N57" t="str">
            <v>ENGELBERTH RUDOLF TANESIB</v>
          </cell>
          <cell r="O57" t="str">
            <v>EGR</v>
          </cell>
          <cell r="P57" t="str">
            <v>idmT4EU@kpg.indomaret.co.id</v>
          </cell>
          <cell r="Q57" t="str">
            <v>KAB. SUMBA TIMUR</v>
          </cell>
          <cell r="R57" t="str">
            <v>SDN</v>
          </cell>
        </row>
        <row r="58">
          <cell r="D58" t="str">
            <v>T7A7</v>
          </cell>
          <cell r="E58" t="str">
            <v/>
          </cell>
          <cell r="F58" t="str">
            <v>ADAM MALIK</v>
          </cell>
          <cell r="G58" t="str">
            <v>R</v>
          </cell>
          <cell r="H58">
            <v>45443</v>
          </cell>
          <cell r="I58" t="str">
            <v>STANDARD NEW</v>
          </cell>
          <cell r="J58">
            <v>2010027958</v>
          </cell>
          <cell r="K58" t="str">
            <v>JULIMAN LASE</v>
          </cell>
          <cell r="L58" t="str">
            <v>JLE</v>
          </cell>
          <cell r="M58">
            <v>2015469470</v>
          </cell>
          <cell r="N58" t="str">
            <v>ENGELBERTH RUDOLF TANESIB</v>
          </cell>
          <cell r="O58" t="str">
            <v>EGR</v>
          </cell>
          <cell r="P58" t="str">
            <v>idmT7A7@kpg.indomaret.co.id</v>
          </cell>
          <cell r="Q58" t="str">
            <v>KAB. SUMBA TIMUR</v>
          </cell>
          <cell r="R58" t="str">
            <v>SDN</v>
          </cell>
        </row>
        <row r="59">
          <cell r="D59" t="str">
            <v>TB2N</v>
          </cell>
          <cell r="E59" t="str">
            <v/>
          </cell>
          <cell r="F59" t="str">
            <v>YOS SUDARSO</v>
          </cell>
          <cell r="G59" t="str">
            <v>R</v>
          </cell>
          <cell r="H59">
            <v>45738</v>
          </cell>
          <cell r="I59" t="str">
            <v>STANDARD NEW</v>
          </cell>
          <cell r="J59">
            <v>2010027958</v>
          </cell>
          <cell r="K59" t="str">
            <v>JULIMAN LASE</v>
          </cell>
          <cell r="L59" t="str">
            <v>JLE</v>
          </cell>
          <cell r="M59">
            <v>2015469470</v>
          </cell>
          <cell r="N59" t="str">
            <v>ENGELBERTH RUDOLF TANESIB</v>
          </cell>
          <cell r="O59" t="str">
            <v>EGR</v>
          </cell>
          <cell r="P59" t="str">
            <v>idmTB2N@kpg.indomaret.co.id</v>
          </cell>
          <cell r="Q59" t="str">
            <v>KAB. SUMBA TIMUR</v>
          </cell>
          <cell r="R59" t="str">
            <v>SDN</v>
          </cell>
        </row>
        <row r="60">
          <cell r="D60" t="str">
            <v>TMO0</v>
          </cell>
          <cell r="E60" t="str">
            <v/>
          </cell>
          <cell r="F60" t="str">
            <v>MATAWAI AMAHU</v>
          </cell>
          <cell r="G60" t="str">
            <v>R</v>
          </cell>
          <cell r="H60">
            <v>45636</v>
          </cell>
          <cell r="I60" t="str">
            <v>STANDARD NEW</v>
          </cell>
          <cell r="J60">
            <v>2010027958</v>
          </cell>
          <cell r="K60" t="str">
            <v>JULIMAN LASE</v>
          </cell>
          <cell r="L60" t="str">
            <v>JLE</v>
          </cell>
          <cell r="M60">
            <v>2015469470</v>
          </cell>
          <cell r="N60" t="str">
            <v>ENGELBERTH RUDOLF TANESIB</v>
          </cell>
          <cell r="O60" t="str">
            <v>EGR</v>
          </cell>
          <cell r="P60" t="str">
            <v>idmTMO0@kpg.indomaret.co.id</v>
          </cell>
          <cell r="Q60" t="str">
            <v>KAB. SUMBA TIMUR</v>
          </cell>
          <cell r="R60" t="str">
            <v>SDN</v>
          </cell>
        </row>
        <row r="61">
          <cell r="D61" t="str">
            <v>TQJK</v>
          </cell>
          <cell r="E61" t="str">
            <v/>
          </cell>
          <cell r="F61" t="str">
            <v>D I PANJAITAN MATAWAI</v>
          </cell>
          <cell r="G61" t="str">
            <v>R</v>
          </cell>
          <cell r="H61">
            <v>45676</v>
          </cell>
          <cell r="I61" t="str">
            <v>STANDARD NEW</v>
          </cell>
          <cell r="J61">
            <v>2010027958</v>
          </cell>
          <cell r="K61" t="str">
            <v>JULIMAN LASE</v>
          </cell>
          <cell r="L61" t="str">
            <v>JLE</v>
          </cell>
          <cell r="M61">
            <v>2015469470</v>
          </cell>
          <cell r="N61" t="str">
            <v>ENGELBERTH RUDOLF TANESIB</v>
          </cell>
          <cell r="O61" t="str">
            <v>EGR</v>
          </cell>
          <cell r="P61" t="str">
            <v>idmTQJK@kpg.indomaret.co.id</v>
          </cell>
          <cell r="Q61" t="str">
            <v>KAB. SUMBA TIMUR</v>
          </cell>
          <cell r="R61" t="str">
            <v>SDN</v>
          </cell>
        </row>
        <row r="62">
          <cell r="D62" t="str">
            <v>TUXZ</v>
          </cell>
          <cell r="E62" t="str">
            <v/>
          </cell>
          <cell r="F62" t="str">
            <v>PRAILIU SUMBA</v>
          </cell>
          <cell r="G62" t="str">
            <v>R</v>
          </cell>
          <cell r="H62">
            <v>45800</v>
          </cell>
          <cell r="I62" t="str">
            <v>STANDARD NEW</v>
          </cell>
          <cell r="J62">
            <v>2010027958</v>
          </cell>
          <cell r="K62" t="str">
            <v>JULIMAN LASE</v>
          </cell>
          <cell r="L62" t="str">
            <v>JLE</v>
          </cell>
          <cell r="M62">
            <v>2015469470</v>
          </cell>
          <cell r="N62" t="str">
            <v>ENGELBERTH RUDOLF TANESIB</v>
          </cell>
          <cell r="O62" t="str">
            <v>EGR</v>
          </cell>
          <cell r="P62" t="str">
            <v>idmTUXZ@kpg.indomaret.co.id</v>
          </cell>
          <cell r="Q62" t="str">
            <v>KAB. SUMBA TIMUR</v>
          </cell>
          <cell r="R62" t="str">
            <v>SDN</v>
          </cell>
        </row>
        <row r="63">
          <cell r="D63" t="str">
            <v>TXQN</v>
          </cell>
          <cell r="E63" t="str">
            <v/>
          </cell>
          <cell r="F63" t="str">
            <v>RAYA ANAKALANG</v>
          </cell>
          <cell r="G63" t="str">
            <v>R</v>
          </cell>
          <cell r="H63">
            <v>45654</v>
          </cell>
          <cell r="I63" t="str">
            <v>STANDARD NEW</v>
          </cell>
          <cell r="J63">
            <v>2010027958</v>
          </cell>
          <cell r="K63" t="str">
            <v>JULIMAN LASE</v>
          </cell>
          <cell r="L63" t="str">
            <v>JLE</v>
          </cell>
          <cell r="M63">
            <v>2015469470</v>
          </cell>
          <cell r="N63" t="str">
            <v>ENGELBERTH RUDOLF TANESIB</v>
          </cell>
          <cell r="O63" t="str">
            <v>EGR</v>
          </cell>
          <cell r="P63" t="str">
            <v>idmTXQN@kpg.indomaret.co.id</v>
          </cell>
          <cell r="Q63" t="str">
            <v>KAB. SUMBA TENGAH</v>
          </cell>
          <cell r="R63" t="str">
            <v>SDN</v>
          </cell>
        </row>
        <row r="64">
          <cell r="D64" t="str">
            <v>T0KG</v>
          </cell>
          <cell r="E64" t="str">
            <v/>
          </cell>
          <cell r="F64" t="str">
            <v>TIMOR RAYA KM 14</v>
          </cell>
          <cell r="G64" t="str">
            <v>R</v>
          </cell>
          <cell r="H64">
            <v>44985</v>
          </cell>
          <cell r="I64" t="str">
            <v xml:space="preserve">STANDARD </v>
          </cell>
          <cell r="J64">
            <v>2010027958</v>
          </cell>
          <cell r="K64" t="str">
            <v>JULIMAN LASE</v>
          </cell>
          <cell r="L64" t="str">
            <v>JLE</v>
          </cell>
          <cell r="M64">
            <v>2007003964</v>
          </cell>
          <cell r="N64" t="str">
            <v>KOES HARIYANTO WIBISONO</v>
          </cell>
          <cell r="O64" t="str">
            <v>KHO</v>
          </cell>
          <cell r="P64" t="str">
            <v>idmT0KG@kpg.indomaret.co.id</v>
          </cell>
          <cell r="Q64" t="str">
            <v>KAB. KUPANG</v>
          </cell>
          <cell r="R64" t="str">
            <v>SDS</v>
          </cell>
        </row>
        <row r="65">
          <cell r="D65" t="str">
            <v>T0VA</v>
          </cell>
          <cell r="E65" t="str">
            <v/>
          </cell>
          <cell r="F65" t="str">
            <v>TIMOR RAYA KM 36</v>
          </cell>
          <cell r="G65" t="str">
            <v>R</v>
          </cell>
          <cell r="H65">
            <v>45065</v>
          </cell>
          <cell r="I65" t="str">
            <v xml:space="preserve">STANDARD </v>
          </cell>
          <cell r="J65">
            <v>2010027958</v>
          </cell>
          <cell r="K65" t="str">
            <v>JULIMAN LASE</v>
          </cell>
          <cell r="L65" t="str">
            <v>JLE</v>
          </cell>
          <cell r="M65">
            <v>2007003964</v>
          </cell>
          <cell r="N65" t="str">
            <v>KOES HARIYANTO WIBISONO</v>
          </cell>
          <cell r="O65" t="str">
            <v>KHO</v>
          </cell>
          <cell r="P65" t="str">
            <v>idmT0VA@kpg.indomaret.co.id</v>
          </cell>
          <cell r="Q65" t="str">
            <v>KAB. KUPANG</v>
          </cell>
          <cell r="R65" t="str">
            <v>SDS</v>
          </cell>
        </row>
        <row r="66">
          <cell r="D66" t="str">
            <v>T1WS</v>
          </cell>
          <cell r="E66" t="str">
            <v/>
          </cell>
          <cell r="F66" t="str">
            <v>A. YANI MERDEKA</v>
          </cell>
          <cell r="G66" t="str">
            <v>R</v>
          </cell>
          <cell r="H66">
            <v>44804</v>
          </cell>
          <cell r="I66" t="str">
            <v>STANDARD NEW</v>
          </cell>
          <cell r="J66">
            <v>2010027958</v>
          </cell>
          <cell r="K66" t="str">
            <v>JULIMAN LASE</v>
          </cell>
          <cell r="L66" t="str">
            <v>JLE</v>
          </cell>
          <cell r="M66">
            <v>2007003964</v>
          </cell>
          <cell r="N66" t="str">
            <v>KOES HARIYANTO WIBISONO</v>
          </cell>
          <cell r="O66" t="str">
            <v>KHO</v>
          </cell>
          <cell r="P66" t="str">
            <v>idmT1WS@kpg.indomaret.co.id</v>
          </cell>
          <cell r="Q66" t="str">
            <v>KOD. KUPANG</v>
          </cell>
          <cell r="R66" t="str">
            <v>SDN</v>
          </cell>
        </row>
        <row r="67">
          <cell r="D67" t="str">
            <v>T47S</v>
          </cell>
          <cell r="E67" t="str">
            <v/>
          </cell>
          <cell r="F67" t="str">
            <v>TIMOR RAYA KM 25</v>
          </cell>
          <cell r="G67" t="str">
            <v>R</v>
          </cell>
          <cell r="H67">
            <v>45012</v>
          </cell>
          <cell r="I67" t="str">
            <v xml:space="preserve">STANDARD </v>
          </cell>
          <cell r="J67">
            <v>2010027958</v>
          </cell>
          <cell r="K67" t="str">
            <v>JULIMAN LASE</v>
          </cell>
          <cell r="L67" t="str">
            <v>JLE</v>
          </cell>
          <cell r="M67">
            <v>2007003964</v>
          </cell>
          <cell r="N67" t="str">
            <v>KOES HARIYANTO WIBISONO</v>
          </cell>
          <cell r="O67" t="str">
            <v>KHO</v>
          </cell>
          <cell r="P67" t="str">
            <v>idmT47S@kpg.indomaret.co.id</v>
          </cell>
          <cell r="Q67" t="str">
            <v>KAB. KUPANG</v>
          </cell>
          <cell r="R67" t="str">
            <v>SDS</v>
          </cell>
        </row>
        <row r="68">
          <cell r="D68" t="str">
            <v>T53I</v>
          </cell>
          <cell r="E68" t="str">
            <v/>
          </cell>
          <cell r="F68" t="str">
            <v>TIMOR RAYA OESAPA KM 8</v>
          </cell>
          <cell r="G68" t="str">
            <v>R</v>
          </cell>
          <cell r="H68">
            <v>44818</v>
          </cell>
          <cell r="I68" t="str">
            <v xml:space="preserve">STANDARD </v>
          </cell>
          <cell r="J68">
            <v>2010027958</v>
          </cell>
          <cell r="K68" t="str">
            <v>JULIMAN LASE</v>
          </cell>
          <cell r="L68" t="str">
            <v>JLE</v>
          </cell>
          <cell r="M68">
            <v>2007003964</v>
          </cell>
          <cell r="N68" t="str">
            <v>KOES HARIYANTO WIBISONO</v>
          </cell>
          <cell r="O68" t="str">
            <v>KHO</v>
          </cell>
          <cell r="P68" t="str">
            <v>idmT53I@kpg.indomaret.co.id</v>
          </cell>
          <cell r="Q68" t="str">
            <v>KOD. KUPANG</v>
          </cell>
          <cell r="R68" t="str">
            <v>SDS</v>
          </cell>
        </row>
        <row r="69">
          <cell r="D69" t="str">
            <v>T9G3</v>
          </cell>
          <cell r="E69" t="str">
            <v/>
          </cell>
          <cell r="F69" t="str">
            <v xml:space="preserve">SILIWANGI OESAPA </v>
          </cell>
          <cell r="G69" t="str">
            <v>R</v>
          </cell>
          <cell r="H69">
            <v>44926</v>
          </cell>
          <cell r="I69" t="str">
            <v xml:space="preserve">STANDARD </v>
          </cell>
          <cell r="J69">
            <v>2010027958</v>
          </cell>
          <cell r="K69" t="str">
            <v>JULIMAN LASE</v>
          </cell>
          <cell r="L69" t="str">
            <v>JLE</v>
          </cell>
          <cell r="M69">
            <v>2007003964</v>
          </cell>
          <cell r="N69" t="str">
            <v>KOES HARIYANTO WIBISONO</v>
          </cell>
          <cell r="O69" t="str">
            <v>KHO</v>
          </cell>
          <cell r="P69" t="str">
            <v>idmT9G3@kpg.indomaret.co.id</v>
          </cell>
          <cell r="Q69" t="str">
            <v>KOD. KUPANG</v>
          </cell>
          <cell r="R69" t="str">
            <v>SDS</v>
          </cell>
        </row>
        <row r="70">
          <cell r="D70" t="str">
            <v>TEL7</v>
          </cell>
          <cell r="E70" t="str">
            <v/>
          </cell>
          <cell r="F70" t="str">
            <v>VETERAN NO. 11 CD</v>
          </cell>
          <cell r="G70" t="str">
            <v>R</v>
          </cell>
          <cell r="H70">
            <v>44804</v>
          </cell>
          <cell r="I70" t="str">
            <v>STANDARD NEW</v>
          </cell>
          <cell r="J70">
            <v>2010027958</v>
          </cell>
          <cell r="K70" t="str">
            <v>JULIMAN LASE</v>
          </cell>
          <cell r="L70" t="str">
            <v>JLE</v>
          </cell>
          <cell r="M70">
            <v>2007003964</v>
          </cell>
          <cell r="N70" t="str">
            <v>KOES HARIYANTO WIBISONO</v>
          </cell>
          <cell r="O70" t="str">
            <v>KHO</v>
          </cell>
          <cell r="P70" t="str">
            <v>idmTEL7@kpg.indomaret.co.id</v>
          </cell>
          <cell r="Q70" t="str">
            <v>KOD. KUPANG</v>
          </cell>
          <cell r="R70" t="str">
            <v>SDN</v>
          </cell>
        </row>
        <row r="71">
          <cell r="D71" t="str">
            <v>TFMT</v>
          </cell>
          <cell r="E71" t="str">
            <v/>
          </cell>
          <cell r="F71" t="str">
            <v>RAYA MATANI</v>
          </cell>
          <cell r="G71" t="str">
            <v>R</v>
          </cell>
          <cell r="H71">
            <v>45157</v>
          </cell>
          <cell r="I71" t="str">
            <v xml:space="preserve">STANDARD </v>
          </cell>
          <cell r="J71">
            <v>2010027958</v>
          </cell>
          <cell r="K71" t="str">
            <v>JULIMAN LASE</v>
          </cell>
          <cell r="L71" t="str">
            <v>JLE</v>
          </cell>
          <cell r="M71">
            <v>2007003964</v>
          </cell>
          <cell r="N71" t="str">
            <v>KOES HARIYANTO WIBISONO</v>
          </cell>
          <cell r="O71" t="str">
            <v>KHO</v>
          </cell>
          <cell r="P71" t="str">
            <v>idmTFMT@kpg.indomaret.co.id</v>
          </cell>
          <cell r="Q71" t="str">
            <v>KAB. KUPANG</v>
          </cell>
          <cell r="R71" t="str">
            <v>SDS</v>
          </cell>
        </row>
        <row r="72">
          <cell r="D72" t="str">
            <v>TFPR</v>
          </cell>
          <cell r="E72" t="str">
            <v/>
          </cell>
          <cell r="F72" t="str">
            <v>ADI SUCIPTO PENFUI</v>
          </cell>
          <cell r="G72" t="str">
            <v>R</v>
          </cell>
          <cell r="H72">
            <v>44926</v>
          </cell>
          <cell r="I72" t="str">
            <v>STANDARD NEW</v>
          </cell>
          <cell r="J72">
            <v>2010027958</v>
          </cell>
          <cell r="K72" t="str">
            <v>JULIMAN LASE</v>
          </cell>
          <cell r="L72" t="str">
            <v>JLE</v>
          </cell>
          <cell r="M72">
            <v>2007003964</v>
          </cell>
          <cell r="N72" t="str">
            <v>KOES HARIYANTO WIBISONO</v>
          </cell>
          <cell r="O72" t="str">
            <v>KHO</v>
          </cell>
          <cell r="P72" t="str">
            <v>idmTFPR@kpg.indomaret.co.id</v>
          </cell>
          <cell r="Q72" t="str">
            <v>KOD. KUPANG</v>
          </cell>
          <cell r="R72" t="str">
            <v>SDN</v>
          </cell>
        </row>
        <row r="73">
          <cell r="D73" t="str">
            <v>TO70</v>
          </cell>
          <cell r="E73" t="str">
            <v/>
          </cell>
          <cell r="F73" t="str">
            <v>LANUDAL PENFUI TIMUR</v>
          </cell>
          <cell r="G73" t="str">
            <v>R</v>
          </cell>
          <cell r="H73">
            <v>45463</v>
          </cell>
          <cell r="I73" t="str">
            <v xml:space="preserve">STANDARD </v>
          </cell>
          <cell r="J73">
            <v>2010027958</v>
          </cell>
          <cell r="K73" t="str">
            <v>JULIMAN LASE</v>
          </cell>
          <cell r="L73" t="str">
            <v>JLE</v>
          </cell>
          <cell r="M73">
            <v>2007003964</v>
          </cell>
          <cell r="N73" t="str">
            <v>KOES HARIYANTO WIBISONO</v>
          </cell>
          <cell r="O73" t="str">
            <v>KHO</v>
          </cell>
          <cell r="P73" t="str">
            <v>idmTO70@kpg.indomaret.co.id</v>
          </cell>
          <cell r="Q73" t="str">
            <v>KAB. KUPANG</v>
          </cell>
          <cell r="R73" t="str">
            <v>SDS</v>
          </cell>
        </row>
        <row r="74">
          <cell r="D74" t="str">
            <v>TOQF</v>
          </cell>
          <cell r="E74" t="str">
            <v/>
          </cell>
          <cell r="F74" t="str">
            <v>TIMOR RAYA KM 28</v>
          </cell>
          <cell r="G74" t="str">
            <v>R</v>
          </cell>
          <cell r="H74">
            <v>44984</v>
          </cell>
          <cell r="I74" t="str">
            <v xml:space="preserve">STANDARD </v>
          </cell>
          <cell r="J74">
            <v>2010027958</v>
          </cell>
          <cell r="K74" t="str">
            <v>JULIMAN LASE</v>
          </cell>
          <cell r="L74" t="str">
            <v>JLE</v>
          </cell>
          <cell r="M74">
            <v>2007003964</v>
          </cell>
          <cell r="N74" t="str">
            <v>KOES HARIYANTO WIBISONO</v>
          </cell>
          <cell r="O74" t="str">
            <v>KHO</v>
          </cell>
          <cell r="P74" t="str">
            <v>idmTOQF@kpg.indomaret.co.id</v>
          </cell>
          <cell r="Q74" t="str">
            <v>KAB. KUPANG</v>
          </cell>
          <cell r="R74" t="str">
            <v>SDS</v>
          </cell>
        </row>
        <row r="75">
          <cell r="D75" t="str">
            <v>TT1V</v>
          </cell>
          <cell r="E75" t="str">
            <v/>
          </cell>
          <cell r="F75" t="str">
            <v>TR NOELBAKI KUPANG</v>
          </cell>
          <cell r="G75" t="str">
            <v>R</v>
          </cell>
          <cell r="H75">
            <v>45655</v>
          </cell>
          <cell r="I75" t="str">
            <v>STANDARD NEW</v>
          </cell>
          <cell r="J75">
            <v>2010027958</v>
          </cell>
          <cell r="K75" t="str">
            <v>JULIMAN LASE</v>
          </cell>
          <cell r="L75" t="str">
            <v>JLE</v>
          </cell>
          <cell r="M75">
            <v>2007003964</v>
          </cell>
          <cell r="N75" t="str">
            <v>KOES HARIYANTO WIBISONO</v>
          </cell>
          <cell r="O75" t="str">
            <v>KHO</v>
          </cell>
          <cell r="P75" t="str">
            <v>idmTT1V@kpg.indomaret.co.id</v>
          </cell>
          <cell r="Q75" t="str">
            <v>KAB. KUPANG</v>
          </cell>
          <cell r="R75" t="str">
            <v>SDN</v>
          </cell>
        </row>
        <row r="76">
          <cell r="D76" t="str">
            <v>TTZQ</v>
          </cell>
          <cell r="E76" t="str">
            <v/>
          </cell>
          <cell r="F76" t="str">
            <v>PIET A TALLO OESAPA</v>
          </cell>
          <cell r="G76" t="str">
            <v>R</v>
          </cell>
          <cell r="H76">
            <v>44895</v>
          </cell>
          <cell r="I76" t="str">
            <v>STANDARD NEW</v>
          </cell>
          <cell r="J76">
            <v>2010027958</v>
          </cell>
          <cell r="K76" t="str">
            <v>JULIMAN LASE</v>
          </cell>
          <cell r="L76" t="str">
            <v>JLE</v>
          </cell>
          <cell r="M76">
            <v>2007003964</v>
          </cell>
          <cell r="N76" t="str">
            <v>KOES HARIYANTO WIBISONO</v>
          </cell>
          <cell r="O76" t="str">
            <v>KHO</v>
          </cell>
          <cell r="P76" t="str">
            <v>idmTTZQ@kpg.indomaret.co.id</v>
          </cell>
          <cell r="Q76" t="str">
            <v>KOD. KUPANG</v>
          </cell>
          <cell r="R76" t="str">
            <v>SDN</v>
          </cell>
        </row>
        <row r="77">
          <cell r="D77" t="str">
            <v>T4AZ</v>
          </cell>
          <cell r="E77" t="str">
            <v/>
          </cell>
          <cell r="F77" t="str">
            <v>BASUKI RAHMAT</v>
          </cell>
          <cell r="G77" t="str">
            <v>R</v>
          </cell>
          <cell r="H77">
            <v>45674</v>
          </cell>
          <cell r="I77" t="str">
            <v>STANDARD NEW</v>
          </cell>
          <cell r="J77">
            <v>2010027958</v>
          </cell>
          <cell r="K77" t="str">
            <v>JULIMAN LASE</v>
          </cell>
          <cell r="L77" t="str">
            <v>JLE</v>
          </cell>
          <cell r="M77">
            <v>2010016865</v>
          </cell>
          <cell r="N77" t="str">
            <v>MOHAMMAD BARON</v>
          </cell>
          <cell r="O77" t="str">
            <v>MBN</v>
          </cell>
          <cell r="P77" t="str">
            <v>idmT4AZ@kpg.indomaret.co.id</v>
          </cell>
          <cell r="Q77" t="str">
            <v>KAB. SUMBA BARAT</v>
          </cell>
          <cell r="R77" t="str">
            <v>SDN</v>
          </cell>
        </row>
        <row r="78">
          <cell r="D78" t="str">
            <v>T9HC</v>
          </cell>
          <cell r="E78" t="str">
            <v/>
          </cell>
          <cell r="F78" t="str">
            <v>WEWEWA BARAT</v>
          </cell>
          <cell r="G78" t="str">
            <v>R</v>
          </cell>
          <cell r="H78">
            <v>45808</v>
          </cell>
          <cell r="I78" t="str">
            <v>STANDARD NEW</v>
          </cell>
          <cell r="J78">
            <v>2010027958</v>
          </cell>
          <cell r="K78" t="str">
            <v>JULIMAN LASE</v>
          </cell>
          <cell r="L78" t="str">
            <v>JLE</v>
          </cell>
          <cell r="M78">
            <v>2010016865</v>
          </cell>
          <cell r="N78" t="str">
            <v>MOHAMMAD BARON</v>
          </cell>
          <cell r="O78" t="str">
            <v>MBN</v>
          </cell>
          <cell r="P78" t="str">
            <v>idmT9HC@kpg.indomaret.co.id</v>
          </cell>
          <cell r="Q78" t="str">
            <v>KAB. SUMBA BARAT DAYA</v>
          </cell>
          <cell r="R78" t="str">
            <v>SDN</v>
          </cell>
        </row>
        <row r="79">
          <cell r="D79" t="str">
            <v>THYS</v>
          </cell>
          <cell r="E79" t="str">
            <v/>
          </cell>
          <cell r="F79" t="str">
            <v>KODI UTARA</v>
          </cell>
          <cell r="G79" t="str">
            <v>R</v>
          </cell>
          <cell r="H79">
            <v>45652</v>
          </cell>
          <cell r="I79" t="str">
            <v>STANDARD NEW</v>
          </cell>
          <cell r="J79">
            <v>2010027958</v>
          </cell>
          <cell r="K79" t="str">
            <v>JULIMAN LASE</v>
          </cell>
          <cell r="L79" t="str">
            <v>JLE</v>
          </cell>
          <cell r="M79">
            <v>2010016865</v>
          </cell>
          <cell r="N79" t="str">
            <v>MOHAMMAD BARON</v>
          </cell>
          <cell r="O79" t="str">
            <v>MBN</v>
          </cell>
          <cell r="P79" t="str">
            <v>idmTHYS@kpg.indomaret.co.id</v>
          </cell>
          <cell r="Q79" t="str">
            <v>KAB. SUMBA BARAT DAYA</v>
          </cell>
          <cell r="R79" t="str">
            <v>SDN</v>
          </cell>
        </row>
        <row r="80">
          <cell r="D80" t="str">
            <v>TJUD</v>
          </cell>
          <cell r="E80" t="str">
            <v/>
          </cell>
          <cell r="F80" t="str">
            <v>LEDE KALUMBANG</v>
          </cell>
          <cell r="G80" t="str">
            <v>R</v>
          </cell>
          <cell r="H80">
            <v>45625</v>
          </cell>
          <cell r="I80" t="str">
            <v>STANDARD NEW</v>
          </cell>
          <cell r="J80">
            <v>2010027958</v>
          </cell>
          <cell r="K80" t="str">
            <v>JULIMAN LASE</v>
          </cell>
          <cell r="L80" t="str">
            <v>JLE</v>
          </cell>
          <cell r="M80">
            <v>2010016865</v>
          </cell>
          <cell r="N80" t="str">
            <v>MOHAMMAD BARON</v>
          </cell>
          <cell r="O80" t="str">
            <v>MBN</v>
          </cell>
          <cell r="P80" t="str">
            <v>idmTJUD@kpg.indomaret.co.id</v>
          </cell>
          <cell r="Q80" t="str">
            <v>KAB. SUMBA BARAT DAYA</v>
          </cell>
          <cell r="R80" t="str">
            <v>SDN</v>
          </cell>
        </row>
        <row r="81">
          <cell r="D81" t="str">
            <v>TKG3</v>
          </cell>
          <cell r="E81" t="str">
            <v/>
          </cell>
          <cell r="F81" t="str">
            <v>BONDO KODI</v>
          </cell>
          <cell r="G81" t="str">
            <v>R</v>
          </cell>
          <cell r="H81">
            <v>45957</v>
          </cell>
          <cell r="I81" t="str">
            <v xml:space="preserve">STANDARD </v>
          </cell>
          <cell r="J81">
            <v>2010027958</v>
          </cell>
          <cell r="K81" t="str">
            <v>JULIMAN LASE</v>
          </cell>
          <cell r="L81" t="str">
            <v>JLE</v>
          </cell>
          <cell r="M81">
            <v>2010016865</v>
          </cell>
          <cell r="N81" t="str">
            <v>MOHAMMAD BARON</v>
          </cell>
          <cell r="O81" t="str">
            <v>MBN</v>
          </cell>
          <cell r="P81" t="str">
            <v>idmTKG3@kpg.indomaret.co.id</v>
          </cell>
          <cell r="Q81" t="str">
            <v>KAB. SUMBA BARAT DAYA</v>
          </cell>
          <cell r="R81" t="str">
            <v>SDS</v>
          </cell>
        </row>
        <row r="82">
          <cell r="D82" t="str">
            <v>TL0I</v>
          </cell>
          <cell r="E82" t="str">
            <v/>
          </cell>
          <cell r="F82" t="str">
            <v>RAJA YOHANES NGONGO BANI</v>
          </cell>
          <cell r="G82" t="str">
            <v>R</v>
          </cell>
          <cell r="H82">
            <v>45572</v>
          </cell>
          <cell r="I82" t="str">
            <v>STANDARD NEW</v>
          </cell>
          <cell r="J82">
            <v>2010027958</v>
          </cell>
          <cell r="K82" t="str">
            <v>JULIMAN LASE</v>
          </cell>
          <cell r="L82" t="str">
            <v>JLE</v>
          </cell>
          <cell r="M82">
            <v>2010016865</v>
          </cell>
          <cell r="N82" t="str">
            <v>MOHAMMAD BARON</v>
          </cell>
          <cell r="O82" t="str">
            <v>MBN</v>
          </cell>
          <cell r="P82" t="str">
            <v>idmTL0I@kpg.indomaret.co.id</v>
          </cell>
          <cell r="Q82" t="str">
            <v>KAB. SUMBA BARAT DAYA</v>
          </cell>
          <cell r="R82" t="str">
            <v>SDN</v>
          </cell>
        </row>
        <row r="83">
          <cell r="D83" t="str">
            <v>TP3T</v>
          </cell>
          <cell r="E83" t="str">
            <v/>
          </cell>
          <cell r="F83" t="str">
            <v>BHAYANGKARA NO.1</v>
          </cell>
          <cell r="G83" t="str">
            <v>R</v>
          </cell>
          <cell r="H83">
            <v>45857</v>
          </cell>
          <cell r="I83" t="str">
            <v>STANDARD NEW</v>
          </cell>
          <cell r="J83">
            <v>2010027958</v>
          </cell>
          <cell r="K83" t="str">
            <v>JULIMAN LASE</v>
          </cell>
          <cell r="L83" t="str">
            <v>JLE</v>
          </cell>
          <cell r="M83">
            <v>2010016865</v>
          </cell>
          <cell r="N83" t="str">
            <v>MOHAMMAD BARON</v>
          </cell>
          <cell r="O83" t="str">
            <v>MBN</v>
          </cell>
          <cell r="P83" t="str">
            <v>idmTP3T@kpg.indomaret.co.id</v>
          </cell>
          <cell r="Q83" t="str">
            <v>KAB. SUMBA BARAT</v>
          </cell>
          <cell r="R83" t="str">
            <v>SDN</v>
          </cell>
        </row>
        <row r="84">
          <cell r="D84" t="str">
            <v>TZAM</v>
          </cell>
          <cell r="E84" t="str">
            <v/>
          </cell>
          <cell r="F84" t="str">
            <v>A YANI WAIKABUBAK</v>
          </cell>
          <cell r="G84" t="str">
            <v>R</v>
          </cell>
          <cell r="H84">
            <v>45570</v>
          </cell>
          <cell r="I84" t="str">
            <v>STANDARD NEW</v>
          </cell>
          <cell r="J84">
            <v>2010027958</v>
          </cell>
          <cell r="K84" t="str">
            <v>JULIMAN LASE</v>
          </cell>
          <cell r="L84" t="str">
            <v>JLE</v>
          </cell>
          <cell r="M84">
            <v>2010016865</v>
          </cell>
          <cell r="N84" t="str">
            <v>MOHAMMAD BARON</v>
          </cell>
          <cell r="O84" t="str">
            <v>MBN</v>
          </cell>
          <cell r="P84" t="str">
            <v>idmTZAM@kpg.indomaret.co.id</v>
          </cell>
          <cell r="Q84" t="str">
            <v>KAB. SUMBA BARAT</v>
          </cell>
          <cell r="R84" t="str">
            <v>SDN</v>
          </cell>
        </row>
        <row r="85">
          <cell r="D85" t="str">
            <v>T2ZE</v>
          </cell>
          <cell r="E85" t="str">
            <v/>
          </cell>
          <cell r="F85" t="str">
            <v>FATUBESI</v>
          </cell>
          <cell r="G85" t="str">
            <v>R</v>
          </cell>
          <cell r="H85">
            <v>45625</v>
          </cell>
          <cell r="I85" t="str">
            <v xml:space="preserve">STANDARD </v>
          </cell>
          <cell r="J85">
            <v>2010027958</v>
          </cell>
          <cell r="K85" t="str">
            <v>JULIMAN LASE</v>
          </cell>
          <cell r="L85" t="str">
            <v>JLE</v>
          </cell>
          <cell r="M85">
            <v>2015469469</v>
          </cell>
          <cell r="N85" t="str">
            <v>YORDAN VANJEXY SOMBU</v>
          </cell>
          <cell r="O85" t="str">
            <v>YRD</v>
          </cell>
          <cell r="P85" t="str">
            <v>idmT2ZE@kpg.indomaret.co.id</v>
          </cell>
          <cell r="Q85" t="str">
            <v>KOD. KUPANG</v>
          </cell>
          <cell r="R85" t="str">
            <v>SDS</v>
          </cell>
        </row>
        <row r="86">
          <cell r="D86" t="str">
            <v>T6VC</v>
          </cell>
          <cell r="E86" t="str">
            <v/>
          </cell>
          <cell r="F86" t="str">
            <v>PIET A TALLO</v>
          </cell>
          <cell r="G86" t="str">
            <v>R</v>
          </cell>
          <cell r="H86">
            <v>44772</v>
          </cell>
          <cell r="I86" t="str">
            <v>STANDARD NEW</v>
          </cell>
          <cell r="J86">
            <v>2010027958</v>
          </cell>
          <cell r="K86" t="str">
            <v>JULIMAN LASE</v>
          </cell>
          <cell r="L86" t="str">
            <v>JLE</v>
          </cell>
          <cell r="M86">
            <v>2015469469</v>
          </cell>
          <cell r="N86" t="str">
            <v>YORDAN VANJEXY SOMBU</v>
          </cell>
          <cell r="O86" t="str">
            <v>YRD</v>
          </cell>
          <cell r="P86" t="str">
            <v>idmT6VC@kpg.indomaret.co.id</v>
          </cell>
          <cell r="Q86" t="str">
            <v>KOD. KUPANG</v>
          </cell>
          <cell r="R86" t="str">
            <v>SDN</v>
          </cell>
        </row>
        <row r="87">
          <cell r="D87" t="str">
            <v>T9D7</v>
          </cell>
          <cell r="E87" t="str">
            <v/>
          </cell>
          <cell r="F87" t="str">
            <v>JAMBU MANULAI II</v>
          </cell>
          <cell r="G87" t="str">
            <v>R</v>
          </cell>
          <cell r="H87">
            <v>44926</v>
          </cell>
          <cell r="I87" t="str">
            <v xml:space="preserve">STANDARD </v>
          </cell>
          <cell r="J87">
            <v>2010027958</v>
          </cell>
          <cell r="K87" t="str">
            <v>JULIMAN LASE</v>
          </cell>
          <cell r="L87" t="str">
            <v>JLE</v>
          </cell>
          <cell r="M87">
            <v>2015469469</v>
          </cell>
          <cell r="N87" t="str">
            <v>YORDAN VANJEXY SOMBU</v>
          </cell>
          <cell r="O87" t="str">
            <v>YRD</v>
          </cell>
          <cell r="P87" t="str">
            <v>idmT9D7@kpg.indomaret.co.id</v>
          </cell>
          <cell r="Q87" t="str">
            <v>KOD. KUPANG</v>
          </cell>
          <cell r="R87" t="str">
            <v>SDS</v>
          </cell>
        </row>
        <row r="88">
          <cell r="D88" t="str">
            <v>TDJ1</v>
          </cell>
          <cell r="E88" t="str">
            <v/>
          </cell>
          <cell r="F88" t="str">
            <v>JEND. SUDIRMAN NUNLEU</v>
          </cell>
          <cell r="G88" t="str">
            <v>R</v>
          </cell>
          <cell r="H88">
            <v>44926</v>
          </cell>
          <cell r="I88" t="str">
            <v xml:space="preserve">STANDARD </v>
          </cell>
          <cell r="J88">
            <v>2010027958</v>
          </cell>
          <cell r="K88" t="str">
            <v>JULIMAN LASE</v>
          </cell>
          <cell r="L88" t="str">
            <v>JLE</v>
          </cell>
          <cell r="M88">
            <v>2015469469</v>
          </cell>
          <cell r="N88" t="str">
            <v>YORDAN VANJEXY SOMBU</v>
          </cell>
          <cell r="O88" t="str">
            <v>YRD</v>
          </cell>
          <cell r="P88" t="str">
            <v>idmTDJ1@kpg.indomaret.co.id</v>
          </cell>
          <cell r="Q88" t="str">
            <v>KOD. KUPANG</v>
          </cell>
          <cell r="R88" t="str">
            <v>SDS</v>
          </cell>
        </row>
        <row r="89">
          <cell r="D89" t="str">
            <v>TFK8</v>
          </cell>
          <cell r="E89" t="str">
            <v/>
          </cell>
          <cell r="F89" t="str">
            <v>SAMRATULANGI</v>
          </cell>
          <cell r="G89" t="str">
            <v>R</v>
          </cell>
          <cell r="H89">
            <v>45944</v>
          </cell>
          <cell r="I89" t="str">
            <v xml:space="preserve">STANDARD </v>
          </cell>
          <cell r="J89">
            <v>2010027958</v>
          </cell>
          <cell r="K89" t="str">
            <v>JULIMAN LASE</v>
          </cell>
          <cell r="L89" t="str">
            <v>JLE</v>
          </cell>
          <cell r="M89">
            <v>2015469469</v>
          </cell>
          <cell r="N89" t="str">
            <v>YORDAN VANJEXY SOMBU</v>
          </cell>
          <cell r="O89" t="str">
            <v>YRD</v>
          </cell>
          <cell r="P89" t="str">
            <v>idmTFK8@kpg.indomaret.co.id</v>
          </cell>
          <cell r="Q89" t="str">
            <v>KOD. KUPANG</v>
          </cell>
          <cell r="R89" t="str">
            <v>SDS</v>
          </cell>
        </row>
        <row r="90">
          <cell r="D90" t="str">
            <v>TLBM</v>
          </cell>
          <cell r="E90" t="str">
            <v/>
          </cell>
          <cell r="F90" t="str">
            <v>CAK DOKO 43</v>
          </cell>
          <cell r="G90" t="str">
            <v>R</v>
          </cell>
          <cell r="H90">
            <v>44985</v>
          </cell>
          <cell r="I90" t="str">
            <v xml:space="preserve">STANDARD </v>
          </cell>
          <cell r="J90">
            <v>2010027958</v>
          </cell>
          <cell r="K90" t="str">
            <v>JULIMAN LASE</v>
          </cell>
          <cell r="L90" t="str">
            <v>JLE</v>
          </cell>
          <cell r="M90">
            <v>2015469469</v>
          </cell>
          <cell r="N90" t="str">
            <v>YORDAN VANJEXY SOMBU</v>
          </cell>
          <cell r="O90" t="str">
            <v>YRD</v>
          </cell>
          <cell r="P90" t="str">
            <v>idmTLBM@kpg.indomaret.co.id</v>
          </cell>
          <cell r="Q90" t="str">
            <v>KOD. KUPANG</v>
          </cell>
          <cell r="R90" t="str">
            <v>SDS</v>
          </cell>
        </row>
        <row r="91">
          <cell r="D91" t="str">
            <v>TLNE</v>
          </cell>
          <cell r="E91" t="str">
            <v/>
          </cell>
          <cell r="F91" t="str">
            <v>RW MONGINSIDI</v>
          </cell>
          <cell r="G91" t="str">
            <v>R</v>
          </cell>
          <cell r="H91">
            <v>44829</v>
          </cell>
          <cell r="I91" t="str">
            <v>STANDARD NEW</v>
          </cell>
          <cell r="J91">
            <v>2010027958</v>
          </cell>
          <cell r="K91" t="str">
            <v>JULIMAN LASE</v>
          </cell>
          <cell r="L91" t="str">
            <v>JLE</v>
          </cell>
          <cell r="M91">
            <v>2015469469</v>
          </cell>
          <cell r="N91" t="str">
            <v>YORDAN VANJEXY SOMBU</v>
          </cell>
          <cell r="O91" t="str">
            <v>YRD</v>
          </cell>
          <cell r="P91" t="str">
            <v>idmTLNE@kpg.indomaret.co.id</v>
          </cell>
          <cell r="Q91" t="str">
            <v>KOD. KUPANG</v>
          </cell>
          <cell r="R91" t="str">
            <v>SDN</v>
          </cell>
        </row>
        <row r="92">
          <cell r="D92" t="str">
            <v>TM62</v>
          </cell>
          <cell r="E92" t="str">
            <v/>
          </cell>
          <cell r="F92" t="str">
            <v>TAEBENU PENFUI</v>
          </cell>
          <cell r="G92" t="str">
            <v>R</v>
          </cell>
          <cell r="H92">
            <v>45011</v>
          </cell>
          <cell r="I92" t="str">
            <v xml:space="preserve">STANDARD </v>
          </cell>
          <cell r="J92">
            <v>2010027958</v>
          </cell>
          <cell r="K92" t="str">
            <v>JULIMAN LASE</v>
          </cell>
          <cell r="L92" t="str">
            <v>JLE</v>
          </cell>
          <cell r="M92">
            <v>2015469469</v>
          </cell>
          <cell r="N92" t="str">
            <v>YORDAN VANJEXY SOMBU</v>
          </cell>
          <cell r="O92" t="str">
            <v>YRD</v>
          </cell>
          <cell r="P92" t="str">
            <v>idmTM62@kpg.indomaret.co.id</v>
          </cell>
          <cell r="Q92" t="str">
            <v>KOD. KUPANG</v>
          </cell>
          <cell r="R92" t="str">
            <v>SDS</v>
          </cell>
        </row>
        <row r="93">
          <cell r="D93" t="str">
            <v>TPAU</v>
          </cell>
          <cell r="E93" t="str">
            <v/>
          </cell>
          <cell r="F93" t="str">
            <v>WJ LALAMENTIK NO.11</v>
          </cell>
          <cell r="G93" t="str">
            <v>R</v>
          </cell>
          <cell r="H93">
            <v>45099</v>
          </cell>
          <cell r="I93" t="str">
            <v>STANDARD NEW</v>
          </cell>
          <cell r="J93">
            <v>2010027958</v>
          </cell>
          <cell r="K93" t="str">
            <v>JULIMAN LASE</v>
          </cell>
          <cell r="L93" t="str">
            <v>JLE</v>
          </cell>
          <cell r="M93">
            <v>2015469469</v>
          </cell>
          <cell r="N93" t="str">
            <v>YORDAN VANJEXY SOMBU</v>
          </cell>
          <cell r="O93" t="str">
            <v>YRD</v>
          </cell>
          <cell r="P93" t="str">
            <v>idmTPAU@kpg.indomaret.co.id</v>
          </cell>
          <cell r="Q93" t="str">
            <v>KOD. KUPANG</v>
          </cell>
          <cell r="R93" t="str">
            <v>SDN</v>
          </cell>
        </row>
        <row r="94">
          <cell r="D94" t="str">
            <v>TQUO</v>
          </cell>
          <cell r="E94" t="str">
            <v/>
          </cell>
          <cell r="F94" t="str">
            <v>WJ LALAMENTIK</v>
          </cell>
          <cell r="G94" t="str">
            <v>R</v>
          </cell>
          <cell r="H94">
            <v>44880</v>
          </cell>
          <cell r="I94" t="str">
            <v xml:space="preserve">STANDARD </v>
          </cell>
          <cell r="J94">
            <v>2010027958</v>
          </cell>
          <cell r="K94" t="str">
            <v>JULIMAN LASE</v>
          </cell>
          <cell r="L94" t="str">
            <v>JLE</v>
          </cell>
          <cell r="M94">
            <v>2015469469</v>
          </cell>
          <cell r="N94" t="str">
            <v>YORDAN VANJEXY SOMBU</v>
          </cell>
          <cell r="O94" t="str">
            <v>YRD</v>
          </cell>
          <cell r="P94" t="str">
            <v>idmTQUO@kpg.indomaret.co.id</v>
          </cell>
          <cell r="Q94" t="str">
            <v>KOD. KUPANG</v>
          </cell>
          <cell r="R94" t="str">
            <v>SDS</v>
          </cell>
        </row>
        <row r="95">
          <cell r="D95" t="str">
            <v>TTED</v>
          </cell>
          <cell r="E95" t="str">
            <v/>
          </cell>
          <cell r="F95" t="str">
            <v>HEREWILA</v>
          </cell>
          <cell r="G95" t="str">
            <v>R</v>
          </cell>
          <cell r="H95">
            <v>44895</v>
          </cell>
          <cell r="I95" t="str">
            <v xml:space="preserve">STANDARD </v>
          </cell>
          <cell r="J95">
            <v>2010027958</v>
          </cell>
          <cell r="K95" t="str">
            <v>JULIMAN LASE</v>
          </cell>
          <cell r="L95" t="str">
            <v>JLE</v>
          </cell>
          <cell r="M95">
            <v>2015469469</v>
          </cell>
          <cell r="N95" t="str">
            <v>YORDAN VANJEXY SOMBU</v>
          </cell>
          <cell r="O95" t="str">
            <v>YRD</v>
          </cell>
          <cell r="P95" t="str">
            <v>idmTTED@kpg.indomaret.co.id</v>
          </cell>
          <cell r="Q95" t="str">
            <v>KOD. KUPANG</v>
          </cell>
          <cell r="R95" t="str">
            <v>SDS</v>
          </cell>
        </row>
        <row r="96">
          <cell r="D96" t="str">
            <v>TWX0</v>
          </cell>
          <cell r="E96" t="str">
            <v/>
          </cell>
          <cell r="F96" t="str">
            <v>BHAKTI KARANG</v>
          </cell>
          <cell r="G96" t="str">
            <v>R</v>
          </cell>
          <cell r="H96">
            <v>44894</v>
          </cell>
          <cell r="I96" t="str">
            <v xml:space="preserve">STANDARD </v>
          </cell>
          <cell r="J96">
            <v>2010027958</v>
          </cell>
          <cell r="K96" t="str">
            <v>JULIMAN LASE</v>
          </cell>
          <cell r="L96" t="str">
            <v>JLE</v>
          </cell>
          <cell r="M96">
            <v>2015469469</v>
          </cell>
          <cell r="N96" t="str">
            <v>YORDAN VANJEXY SOMBU</v>
          </cell>
          <cell r="O96" t="str">
            <v>YRD</v>
          </cell>
          <cell r="P96" t="str">
            <v>idmTWX0@kpg.indomaret.co.id</v>
          </cell>
          <cell r="Q96" t="str">
            <v>KOD. KUPANG</v>
          </cell>
          <cell r="R96" t="str">
            <v>SDS</v>
          </cell>
        </row>
        <row r="97">
          <cell r="D97" t="str">
            <v>TWZJ</v>
          </cell>
          <cell r="E97" t="str">
            <v/>
          </cell>
          <cell r="F97" t="str">
            <v>TIMOR RAYA KM 12</v>
          </cell>
          <cell r="G97" t="str">
            <v>R</v>
          </cell>
          <cell r="H97">
            <v>44858</v>
          </cell>
          <cell r="I97" t="str">
            <v xml:space="preserve">STANDARD </v>
          </cell>
          <cell r="J97">
            <v>2010027958</v>
          </cell>
          <cell r="K97" t="str">
            <v>JULIMAN LASE</v>
          </cell>
          <cell r="L97" t="str">
            <v>JLE</v>
          </cell>
          <cell r="M97">
            <v>2015469469</v>
          </cell>
          <cell r="N97" t="str">
            <v>YORDAN VANJEXY SOMBU</v>
          </cell>
          <cell r="O97" t="str">
            <v>YRD</v>
          </cell>
          <cell r="P97" t="str">
            <v>idmTWZJ@kpg.indomaret.co.id</v>
          </cell>
          <cell r="Q97" t="str">
            <v>KOD. KUPANG</v>
          </cell>
          <cell r="R97" t="str">
            <v>SDS</v>
          </cell>
        </row>
        <row r="98">
          <cell r="D98" t="str">
            <v>TY7M</v>
          </cell>
          <cell r="E98" t="str">
            <v/>
          </cell>
          <cell r="F98" t="str">
            <v>ADI SUCIPTO</v>
          </cell>
          <cell r="G98" t="str">
            <v>R</v>
          </cell>
          <cell r="H98">
            <v>44994</v>
          </cell>
          <cell r="I98" t="str">
            <v xml:space="preserve">STANDARD </v>
          </cell>
          <cell r="J98">
            <v>2010027958</v>
          </cell>
          <cell r="K98" t="str">
            <v>JULIMAN LASE</v>
          </cell>
          <cell r="L98" t="str">
            <v>JLE</v>
          </cell>
          <cell r="M98">
            <v>2015469469</v>
          </cell>
          <cell r="N98" t="str">
            <v>YORDAN VANJEXY SOMBU</v>
          </cell>
          <cell r="O98" t="str">
            <v>YRD</v>
          </cell>
          <cell r="P98" t="str">
            <v>idmTY7M@kpg.indomaret.co.id</v>
          </cell>
          <cell r="Q98" t="str">
            <v>KOD. KUPANG</v>
          </cell>
          <cell r="R98" t="str">
            <v>SDS</v>
          </cell>
        </row>
        <row r="99">
          <cell r="D99" t="str">
            <v>F2GB</v>
          </cell>
          <cell r="E99" t="str">
            <v>T2U3</v>
          </cell>
          <cell r="F99" t="str">
            <v>BANYUGLUGUR</v>
          </cell>
          <cell r="G99" t="str">
            <v>F</v>
          </cell>
          <cell r="H99">
            <v>44228</v>
          </cell>
          <cell r="I99" t="str">
            <v xml:space="preserve">STANDARD </v>
          </cell>
          <cell r="J99">
            <v>2012028418</v>
          </cell>
          <cell r="K99" t="str">
            <v>ARYANA TYAS SAPUTRA</v>
          </cell>
          <cell r="L99" t="str">
            <v>ATS</v>
          </cell>
          <cell r="M99">
            <v>2008901678</v>
          </cell>
          <cell r="N99" t="str">
            <v>DANI SETIAWAN</v>
          </cell>
          <cell r="O99" t="str">
            <v>DAN</v>
          </cell>
          <cell r="P99" t="str">
            <v>idF2GB@jbr.indomaret.co.id</v>
          </cell>
          <cell r="Q99" t="str">
            <v>KAB. SITUBONDO</v>
          </cell>
          <cell r="R99" t="str">
            <v>SDS</v>
          </cell>
        </row>
        <row r="100">
          <cell r="D100" t="str">
            <v>F439</v>
          </cell>
          <cell r="E100" t="str">
            <v/>
          </cell>
          <cell r="F100" t="str">
            <v>BESUKI - STB</v>
          </cell>
          <cell r="G100" t="str">
            <v>F</v>
          </cell>
          <cell r="H100">
            <v>45411</v>
          </cell>
          <cell r="I100" t="str">
            <v xml:space="preserve">STANDARD </v>
          </cell>
          <cell r="J100">
            <v>2012028418</v>
          </cell>
          <cell r="K100" t="str">
            <v>ARYANA TYAS SAPUTRA</v>
          </cell>
          <cell r="L100" t="str">
            <v>ATS</v>
          </cell>
          <cell r="M100">
            <v>2008901678</v>
          </cell>
          <cell r="N100" t="str">
            <v>DANI SETIAWAN</v>
          </cell>
          <cell r="O100" t="str">
            <v>DAN</v>
          </cell>
          <cell r="P100" t="str">
            <v>idF439@jbr.indomaret.co.id</v>
          </cell>
          <cell r="Q100" t="str">
            <v>KAB. SITUBONDO</v>
          </cell>
          <cell r="R100" t="str">
            <v>SDS</v>
          </cell>
        </row>
        <row r="101">
          <cell r="D101" t="str">
            <v>FBLP</v>
          </cell>
          <cell r="E101" t="str">
            <v>TQ5T</v>
          </cell>
          <cell r="F101" t="str">
            <v>SUBOH-STO</v>
          </cell>
          <cell r="G101" t="str">
            <v>F</v>
          </cell>
          <cell r="H101">
            <v>44256</v>
          </cell>
          <cell r="I101" t="str">
            <v xml:space="preserve">STANDARD </v>
          </cell>
          <cell r="J101">
            <v>2012028418</v>
          </cell>
          <cell r="K101" t="str">
            <v>ARYANA TYAS SAPUTRA</v>
          </cell>
          <cell r="L101" t="str">
            <v>ATS</v>
          </cell>
          <cell r="M101">
            <v>2008901678</v>
          </cell>
          <cell r="N101" t="str">
            <v>DANI SETIAWAN</v>
          </cell>
          <cell r="O101" t="str">
            <v>DAN</v>
          </cell>
          <cell r="P101" t="str">
            <v>idFBLP@jbr.indomaret.co.id</v>
          </cell>
          <cell r="Q101" t="str">
            <v>KAB. SITUBONDO</v>
          </cell>
          <cell r="R101" t="str">
            <v>SDS</v>
          </cell>
        </row>
        <row r="102">
          <cell r="D102" t="str">
            <v>FJEZ</v>
          </cell>
          <cell r="E102" t="str">
            <v>TZPJ</v>
          </cell>
          <cell r="F102" t="str">
            <v>PATTIMURA -  SITUBONDO</v>
          </cell>
          <cell r="G102" t="str">
            <v>F</v>
          </cell>
          <cell r="H102">
            <v>45323</v>
          </cell>
          <cell r="I102" t="str">
            <v xml:space="preserve">STANDARD </v>
          </cell>
          <cell r="J102">
            <v>2012028418</v>
          </cell>
          <cell r="K102" t="str">
            <v>ARYANA TYAS SAPUTRA</v>
          </cell>
          <cell r="L102" t="str">
            <v>ATS</v>
          </cell>
          <cell r="M102">
            <v>2008901678</v>
          </cell>
          <cell r="N102" t="str">
            <v>DANI SETIAWAN</v>
          </cell>
          <cell r="O102" t="str">
            <v>DAN</v>
          </cell>
          <cell r="P102" t="str">
            <v>idFJEZ@jbr.indomaret.co.id</v>
          </cell>
          <cell r="Q102" t="str">
            <v>KAB. SITUBONDO</v>
          </cell>
          <cell r="R102" t="str">
            <v>SDS</v>
          </cell>
        </row>
        <row r="103">
          <cell r="D103" t="str">
            <v>FL9D</v>
          </cell>
          <cell r="E103" t="str">
            <v/>
          </cell>
          <cell r="F103" t="str">
            <v>GARUDA BESUKI</v>
          </cell>
          <cell r="G103" t="str">
            <v>F</v>
          </cell>
          <cell r="H103">
            <v>44771</v>
          </cell>
          <cell r="I103" t="str">
            <v xml:space="preserve">STANDARD </v>
          </cell>
          <cell r="J103">
            <v>2012028418</v>
          </cell>
          <cell r="K103" t="str">
            <v>ARYANA TYAS SAPUTRA</v>
          </cell>
          <cell r="L103" t="str">
            <v>ATS</v>
          </cell>
          <cell r="M103">
            <v>2008901678</v>
          </cell>
          <cell r="N103" t="str">
            <v>DANI SETIAWAN</v>
          </cell>
          <cell r="O103" t="str">
            <v>DAN</v>
          </cell>
          <cell r="P103" t="str">
            <v>idFLD9@jbr.indomaret.co.id</v>
          </cell>
          <cell r="Q103" t="str">
            <v>KAB. SITUBONDO</v>
          </cell>
          <cell r="R103" t="str">
            <v>SDS</v>
          </cell>
        </row>
        <row r="104">
          <cell r="D104" t="str">
            <v>FSYJ</v>
          </cell>
          <cell r="E104" t="str">
            <v/>
          </cell>
          <cell r="F104" t="str">
            <v>BUDUAN</v>
          </cell>
          <cell r="G104" t="str">
            <v>F</v>
          </cell>
          <cell r="H104">
            <v>45053</v>
          </cell>
          <cell r="I104" t="str">
            <v xml:space="preserve">STANDARD </v>
          </cell>
          <cell r="J104">
            <v>2012028418</v>
          </cell>
          <cell r="K104" t="str">
            <v>ARYANA TYAS SAPUTRA</v>
          </cell>
          <cell r="L104" t="str">
            <v>ATS</v>
          </cell>
          <cell r="M104">
            <v>2008901678</v>
          </cell>
          <cell r="N104" t="str">
            <v>DANI SETIAWAN</v>
          </cell>
          <cell r="O104" t="str">
            <v>DAN</v>
          </cell>
          <cell r="P104" t="str">
            <v>idFSYJ@jbr.indomaret.co.id</v>
          </cell>
          <cell r="Q104" t="str">
            <v>KAB. SITUBONDO</v>
          </cell>
          <cell r="R104" t="str">
            <v>SDS</v>
          </cell>
        </row>
        <row r="105">
          <cell r="D105" t="str">
            <v>FT2J</v>
          </cell>
          <cell r="E105" t="str">
            <v/>
          </cell>
          <cell r="F105" t="str">
            <v>RAYA BESUKI - SITUBONDO</v>
          </cell>
          <cell r="G105" t="str">
            <v>F</v>
          </cell>
          <cell r="H105">
            <v>45076</v>
          </cell>
          <cell r="I105" t="str">
            <v xml:space="preserve">STANDARD </v>
          </cell>
          <cell r="J105">
            <v>2012028418</v>
          </cell>
          <cell r="K105" t="str">
            <v>ARYANA TYAS SAPUTRA</v>
          </cell>
          <cell r="L105" t="str">
            <v>ATS</v>
          </cell>
          <cell r="M105">
            <v>2008901678</v>
          </cell>
          <cell r="N105" t="str">
            <v>DANI SETIAWAN</v>
          </cell>
          <cell r="O105" t="str">
            <v>DAN</v>
          </cell>
          <cell r="P105" t="str">
            <v>idFT2J@jbr.indomaret.co.id</v>
          </cell>
          <cell r="Q105" t="str">
            <v>KAB. SITUBONDO</v>
          </cell>
          <cell r="R105" t="str">
            <v>SDS</v>
          </cell>
        </row>
        <row r="106">
          <cell r="D106" t="str">
            <v>TGXG</v>
          </cell>
          <cell r="E106" t="str">
            <v/>
          </cell>
          <cell r="F106" t="str">
            <v>RAYA KOTA TIMUR</v>
          </cell>
          <cell r="G106" t="str">
            <v>R</v>
          </cell>
          <cell r="H106">
            <v>41537</v>
          </cell>
          <cell r="I106" t="str">
            <v>STANDARD NEW</v>
          </cell>
          <cell r="J106">
            <v>2012028418</v>
          </cell>
          <cell r="K106" t="str">
            <v>ARYANA TYAS SAPUTRA</v>
          </cell>
          <cell r="L106" t="str">
            <v>ATS</v>
          </cell>
          <cell r="M106">
            <v>2008901678</v>
          </cell>
          <cell r="N106" t="str">
            <v>DANI SETIAWAN</v>
          </cell>
          <cell r="O106" t="str">
            <v>DAN</v>
          </cell>
          <cell r="P106" t="str">
            <v>idmTGXG@jbr.indomaret.co.id</v>
          </cell>
          <cell r="Q106" t="str">
            <v>KAB. SITUBONDO</v>
          </cell>
          <cell r="R106" t="str">
            <v>SDN</v>
          </cell>
        </row>
        <row r="107">
          <cell r="D107" t="str">
            <v>THEM</v>
          </cell>
          <cell r="E107" t="str">
            <v/>
          </cell>
          <cell r="F107" t="str">
            <v>KALIANGET STO</v>
          </cell>
          <cell r="G107" t="str">
            <v>R</v>
          </cell>
          <cell r="H107">
            <v>41820</v>
          </cell>
          <cell r="I107" t="str">
            <v xml:space="preserve">STANDARD </v>
          </cell>
          <cell r="J107">
            <v>2012028418</v>
          </cell>
          <cell r="K107" t="str">
            <v>ARYANA TYAS SAPUTRA</v>
          </cell>
          <cell r="L107" t="str">
            <v>ATS</v>
          </cell>
          <cell r="M107">
            <v>2008901678</v>
          </cell>
          <cell r="N107" t="str">
            <v>DANI SETIAWAN</v>
          </cell>
          <cell r="O107" t="str">
            <v>DAN</v>
          </cell>
          <cell r="P107" t="str">
            <v>idmTHEM@jbr.indomaret.co.id</v>
          </cell>
          <cell r="Q107" t="str">
            <v>KAB. SITUBONDO</v>
          </cell>
          <cell r="R107" t="str">
            <v>SDS</v>
          </cell>
        </row>
        <row r="108">
          <cell r="D108" t="str">
            <v>TKAE</v>
          </cell>
          <cell r="E108" t="str">
            <v/>
          </cell>
          <cell r="F108" t="str">
            <v>DEMUNG STB</v>
          </cell>
          <cell r="G108" t="str">
            <v>R</v>
          </cell>
          <cell r="H108">
            <v>41565</v>
          </cell>
          <cell r="I108" t="str">
            <v xml:space="preserve">STANDARD </v>
          </cell>
          <cell r="J108">
            <v>2012028418</v>
          </cell>
          <cell r="K108" t="str">
            <v>ARYANA TYAS SAPUTRA</v>
          </cell>
          <cell r="L108" t="str">
            <v>ATS</v>
          </cell>
          <cell r="M108">
            <v>2008901678</v>
          </cell>
          <cell r="N108" t="str">
            <v>DANI SETIAWAN</v>
          </cell>
          <cell r="O108" t="str">
            <v>DAN</v>
          </cell>
          <cell r="P108" t="str">
            <v>idmTKAE@jbr.indomaret.co.id</v>
          </cell>
          <cell r="Q108" t="str">
            <v>KAB. SITUBONDO</v>
          </cell>
          <cell r="R108" t="str">
            <v>SDS</v>
          </cell>
        </row>
        <row r="109">
          <cell r="D109" t="str">
            <v>TLEC</v>
          </cell>
          <cell r="E109" t="str">
            <v>F54F</v>
          </cell>
          <cell r="F109" t="str">
            <v>KOTA TIMUR - SITUBONDO</v>
          </cell>
          <cell r="G109" t="str">
            <v>R</v>
          </cell>
          <cell r="H109">
            <v>41974</v>
          </cell>
          <cell r="I109" t="str">
            <v xml:space="preserve">STANDARD </v>
          </cell>
          <cell r="J109">
            <v>2012028418</v>
          </cell>
          <cell r="K109" t="str">
            <v>ARYANA TYAS SAPUTRA</v>
          </cell>
          <cell r="L109" t="str">
            <v>ATS</v>
          </cell>
          <cell r="M109">
            <v>2008901678</v>
          </cell>
          <cell r="N109" t="str">
            <v>DANI SETIAWAN</v>
          </cell>
          <cell r="O109" t="str">
            <v>DAN</v>
          </cell>
          <cell r="P109" t="str">
            <v>idmTLEC@jbr.indomaret.co.id</v>
          </cell>
          <cell r="Q109" t="str">
            <v>KAB. SITUBONDO</v>
          </cell>
          <cell r="R109" t="str">
            <v>SDS</v>
          </cell>
        </row>
        <row r="110">
          <cell r="D110" t="str">
            <v>TVUY</v>
          </cell>
          <cell r="E110" t="str">
            <v/>
          </cell>
          <cell r="F110" t="str">
            <v>KALIMAS BESUKI</v>
          </cell>
          <cell r="G110" t="str">
            <v>R</v>
          </cell>
          <cell r="H110">
            <v>44651</v>
          </cell>
          <cell r="I110" t="str">
            <v xml:space="preserve">STANDARD </v>
          </cell>
          <cell r="J110">
            <v>2012028418</v>
          </cell>
          <cell r="K110" t="str">
            <v>ARYANA TYAS SAPUTRA</v>
          </cell>
          <cell r="L110" t="str">
            <v>ATS</v>
          </cell>
          <cell r="M110">
            <v>2008901678</v>
          </cell>
          <cell r="N110" t="str">
            <v>DANI SETIAWAN</v>
          </cell>
          <cell r="O110" t="str">
            <v>DAN</v>
          </cell>
          <cell r="P110" t="str">
            <v>idmTVUY@jbr.indomaret.co.id</v>
          </cell>
          <cell r="Q110" t="str">
            <v>KAB. SITUBONDO</v>
          </cell>
          <cell r="R110" t="str">
            <v>SDS</v>
          </cell>
        </row>
        <row r="111">
          <cell r="D111" t="str">
            <v>F20W</v>
          </cell>
          <cell r="E111" t="str">
            <v/>
          </cell>
          <cell r="F111" t="str">
            <v>SEMERU 14</v>
          </cell>
          <cell r="G111" t="str">
            <v>F</v>
          </cell>
          <cell r="H111">
            <v>45439</v>
          </cell>
          <cell r="I111" t="str">
            <v xml:space="preserve">STANDARD </v>
          </cell>
          <cell r="J111">
            <v>2012028418</v>
          </cell>
          <cell r="K111" t="str">
            <v>ARYANA TYAS SAPUTRA</v>
          </cell>
          <cell r="L111" t="str">
            <v>ATS</v>
          </cell>
          <cell r="M111">
            <v>2008890339</v>
          </cell>
          <cell r="N111" t="str">
            <v>HERMANTO</v>
          </cell>
          <cell r="O111" t="str">
            <v>HMT</v>
          </cell>
          <cell r="P111" t="str">
            <v>idF20W@jbr.indomaret.co.id</v>
          </cell>
          <cell r="Q111" t="str">
            <v>KOD. PROBOLINGGO</v>
          </cell>
          <cell r="R111" t="str">
            <v>SDS</v>
          </cell>
        </row>
        <row r="112">
          <cell r="D112" t="str">
            <v>FAHP</v>
          </cell>
          <cell r="E112" t="str">
            <v>FSPE</v>
          </cell>
          <cell r="F112" t="str">
            <v>MAWAR</v>
          </cell>
          <cell r="G112" t="str">
            <v>F</v>
          </cell>
          <cell r="H112">
            <v>44597</v>
          </cell>
          <cell r="I112" t="str">
            <v xml:space="preserve">STANDARD </v>
          </cell>
          <cell r="J112">
            <v>2012028418</v>
          </cell>
          <cell r="K112" t="str">
            <v>ARYANA TYAS SAPUTRA</v>
          </cell>
          <cell r="L112" t="str">
            <v>ATS</v>
          </cell>
          <cell r="M112">
            <v>2008890339</v>
          </cell>
          <cell r="N112" t="str">
            <v>HERMANTO</v>
          </cell>
          <cell r="O112" t="str">
            <v>HMT</v>
          </cell>
          <cell r="P112" t="str">
            <v>idFAHP@jbr.indomaret.co.id</v>
          </cell>
          <cell r="Q112" t="str">
            <v>KOD. PROBOLINGGO</v>
          </cell>
          <cell r="R112" t="str">
            <v>SDS</v>
          </cell>
        </row>
        <row r="113">
          <cell r="D113" t="str">
            <v>FGKR</v>
          </cell>
          <cell r="E113" t="str">
            <v>T658</v>
          </cell>
          <cell r="F113" t="str">
            <v>PROBOLINGGO 2</v>
          </cell>
          <cell r="G113" t="str">
            <v>F</v>
          </cell>
          <cell r="H113">
            <v>44531</v>
          </cell>
          <cell r="I113" t="str">
            <v xml:space="preserve">STANDARD </v>
          </cell>
          <cell r="J113">
            <v>2012028418</v>
          </cell>
          <cell r="K113" t="str">
            <v>ARYANA TYAS SAPUTRA</v>
          </cell>
          <cell r="L113" t="str">
            <v>ATS</v>
          </cell>
          <cell r="M113">
            <v>2008890339</v>
          </cell>
          <cell r="N113" t="str">
            <v>HERMANTO</v>
          </cell>
          <cell r="O113" t="str">
            <v>HMT</v>
          </cell>
          <cell r="P113" t="str">
            <v>idFGKR@jbr.indomaret.co.id</v>
          </cell>
          <cell r="Q113" t="str">
            <v>KOD. PROBOLINGGO</v>
          </cell>
          <cell r="R113" t="str">
            <v>SDS</v>
          </cell>
        </row>
        <row r="114">
          <cell r="D114" t="str">
            <v>FKL1</v>
          </cell>
          <cell r="E114" t="str">
            <v/>
          </cell>
          <cell r="F114" t="str">
            <v>KEDOPOK</v>
          </cell>
          <cell r="G114" t="str">
            <v>F</v>
          </cell>
          <cell r="H114">
            <v>45926</v>
          </cell>
          <cell r="I114" t="str">
            <v xml:space="preserve">STANDARD </v>
          </cell>
          <cell r="J114">
            <v>2012028418</v>
          </cell>
          <cell r="K114" t="str">
            <v>ARYANA TYAS SAPUTRA</v>
          </cell>
          <cell r="L114" t="str">
            <v>ATS</v>
          </cell>
          <cell r="M114">
            <v>2008890339</v>
          </cell>
          <cell r="N114" t="str">
            <v>HERMANTO</v>
          </cell>
          <cell r="O114" t="str">
            <v>HMT</v>
          </cell>
          <cell r="P114" t="str">
            <v>idFKL1@jbr.indomaret.co.id</v>
          </cell>
          <cell r="Q114" t="str">
            <v>KOD. PROBOLINGGO</v>
          </cell>
          <cell r="R114" t="str">
            <v>SDS</v>
          </cell>
        </row>
        <row r="115">
          <cell r="D115" t="str">
            <v>TCKL</v>
          </cell>
          <cell r="E115" t="str">
            <v/>
          </cell>
          <cell r="F115" t="str">
            <v>SUMBERTAMAN</v>
          </cell>
          <cell r="G115" t="str">
            <v>R</v>
          </cell>
          <cell r="H115">
            <v>43188</v>
          </cell>
          <cell r="I115" t="str">
            <v xml:space="preserve">STANDARD </v>
          </cell>
          <cell r="J115">
            <v>2012028418</v>
          </cell>
          <cell r="K115" t="str">
            <v>ARYANA TYAS SAPUTRA</v>
          </cell>
          <cell r="L115" t="str">
            <v>ATS</v>
          </cell>
          <cell r="M115">
            <v>2008890339</v>
          </cell>
          <cell r="N115" t="str">
            <v>HERMANTO</v>
          </cell>
          <cell r="O115" t="str">
            <v>HMT</v>
          </cell>
          <cell r="P115" t="str">
            <v>idmTCKL@jbr.indomaret.co.id</v>
          </cell>
          <cell r="Q115" t="str">
            <v>KOD. PROBOLINGGO</v>
          </cell>
          <cell r="R115" t="str">
            <v>SDS</v>
          </cell>
        </row>
        <row r="116">
          <cell r="D116" t="str">
            <v>TDYI</v>
          </cell>
          <cell r="E116" t="str">
            <v/>
          </cell>
          <cell r="F116" t="str">
            <v>PESISIR PBO</v>
          </cell>
          <cell r="G116" t="str">
            <v>R</v>
          </cell>
          <cell r="H116">
            <v>41873</v>
          </cell>
          <cell r="I116" t="str">
            <v xml:space="preserve">STANDARD </v>
          </cell>
          <cell r="J116">
            <v>2012028418</v>
          </cell>
          <cell r="K116" t="str">
            <v>ARYANA TYAS SAPUTRA</v>
          </cell>
          <cell r="L116" t="str">
            <v>ATS</v>
          </cell>
          <cell r="M116">
            <v>2008890339</v>
          </cell>
          <cell r="N116" t="str">
            <v>HERMANTO</v>
          </cell>
          <cell r="O116" t="str">
            <v>HMT</v>
          </cell>
          <cell r="P116" t="str">
            <v>idmTDYI@jbr.indomaret.co.id</v>
          </cell>
          <cell r="Q116" t="str">
            <v>KAB. PROBOLINGGO</v>
          </cell>
          <cell r="R116" t="str">
            <v>SDS</v>
          </cell>
        </row>
        <row r="117">
          <cell r="D117" t="str">
            <v>TGKX</v>
          </cell>
          <cell r="E117" t="str">
            <v/>
          </cell>
          <cell r="F117" t="str">
            <v>SOEKARNO HATTA 66</v>
          </cell>
          <cell r="G117" t="str">
            <v>R</v>
          </cell>
          <cell r="H117">
            <v>44730</v>
          </cell>
          <cell r="I117" t="str">
            <v xml:space="preserve">STANDARD </v>
          </cell>
          <cell r="J117">
            <v>2012028418</v>
          </cell>
          <cell r="K117" t="str">
            <v>ARYANA TYAS SAPUTRA</v>
          </cell>
          <cell r="L117" t="str">
            <v>ATS</v>
          </cell>
          <cell r="M117">
            <v>2008890339</v>
          </cell>
          <cell r="N117" t="str">
            <v>HERMANTO</v>
          </cell>
          <cell r="O117" t="str">
            <v>HMT</v>
          </cell>
          <cell r="P117" t="str">
            <v>idmTGKX@jbr.indomaret.co.id</v>
          </cell>
          <cell r="Q117" t="str">
            <v>KOD. PROBOLINGGO</v>
          </cell>
          <cell r="R117" t="str">
            <v>SDS</v>
          </cell>
        </row>
        <row r="118">
          <cell r="D118" t="str">
            <v>TGT7</v>
          </cell>
          <cell r="E118" t="str">
            <v/>
          </cell>
          <cell r="F118" t="str">
            <v>MANGGA PERMATA REGENCY</v>
          </cell>
          <cell r="G118" t="str">
            <v>R</v>
          </cell>
          <cell r="H118">
            <v>45514</v>
          </cell>
          <cell r="I118" t="str">
            <v xml:space="preserve">STANDARD </v>
          </cell>
          <cell r="J118">
            <v>2012028418</v>
          </cell>
          <cell r="K118" t="str">
            <v>ARYANA TYAS SAPUTRA</v>
          </cell>
          <cell r="L118" t="str">
            <v>ATS</v>
          </cell>
          <cell r="M118">
            <v>2008890339</v>
          </cell>
          <cell r="N118" t="str">
            <v>HERMANTO</v>
          </cell>
          <cell r="O118" t="str">
            <v>HMT</v>
          </cell>
          <cell r="P118" t="str">
            <v>idmTGT7@jbr.indomaret.co.id</v>
          </cell>
          <cell r="Q118" t="str">
            <v>KOD. PROBOLINGGO</v>
          </cell>
          <cell r="R118" t="str">
            <v>SDS</v>
          </cell>
        </row>
        <row r="119">
          <cell r="D119" t="str">
            <v>TPGD</v>
          </cell>
          <cell r="E119" t="str">
            <v>FZVS</v>
          </cell>
          <cell r="F119" t="str">
            <v>SUROYO 08</v>
          </cell>
          <cell r="G119" t="str">
            <v>R</v>
          </cell>
          <cell r="H119">
            <v>43248</v>
          </cell>
          <cell r="I119" t="str">
            <v xml:space="preserve">STANDARD </v>
          </cell>
          <cell r="J119">
            <v>2012028418</v>
          </cell>
          <cell r="K119" t="str">
            <v>ARYANA TYAS SAPUTRA</v>
          </cell>
          <cell r="L119" t="str">
            <v>ATS</v>
          </cell>
          <cell r="M119">
            <v>2008890339</v>
          </cell>
          <cell r="N119" t="str">
            <v>HERMANTO</v>
          </cell>
          <cell r="O119" t="str">
            <v>HMT</v>
          </cell>
          <cell r="P119" t="str">
            <v>idmTPGD@jbr.indomaret.co.id</v>
          </cell>
          <cell r="Q119" t="str">
            <v>KOD. PROBOLINGGO</v>
          </cell>
          <cell r="R119" t="str">
            <v>SDS</v>
          </cell>
        </row>
        <row r="120">
          <cell r="D120" t="str">
            <v>TTMX</v>
          </cell>
          <cell r="E120" t="str">
            <v/>
          </cell>
          <cell r="F120" t="str">
            <v>RAYA SUKOHARJO - PBO</v>
          </cell>
          <cell r="G120" t="str">
            <v>R</v>
          </cell>
          <cell r="H120">
            <v>41205</v>
          </cell>
          <cell r="I120" t="str">
            <v xml:space="preserve">STANDARD </v>
          </cell>
          <cell r="J120">
            <v>2012028418</v>
          </cell>
          <cell r="K120" t="str">
            <v>ARYANA TYAS SAPUTRA</v>
          </cell>
          <cell r="L120" t="str">
            <v>ATS</v>
          </cell>
          <cell r="M120">
            <v>2008890339</v>
          </cell>
          <cell r="N120" t="str">
            <v>HERMANTO</v>
          </cell>
          <cell r="O120" t="str">
            <v>HMT</v>
          </cell>
          <cell r="P120" t="str">
            <v>idmTTMX@jbr.indomaret.co.id</v>
          </cell>
          <cell r="Q120" t="str">
            <v>KOD. PROBOLINGGO</v>
          </cell>
          <cell r="R120" t="str">
            <v>SDS</v>
          </cell>
        </row>
        <row r="121">
          <cell r="D121" t="str">
            <v>TVLD</v>
          </cell>
          <cell r="E121" t="str">
            <v/>
          </cell>
          <cell r="F121" t="str">
            <v>WR. SUPRATMAN</v>
          </cell>
          <cell r="G121" t="str">
            <v>R</v>
          </cell>
          <cell r="H121">
            <v>42972</v>
          </cell>
          <cell r="I121" t="str">
            <v xml:space="preserve">STANDARD </v>
          </cell>
          <cell r="J121">
            <v>2012028418</v>
          </cell>
          <cell r="K121" t="str">
            <v>ARYANA TYAS SAPUTRA</v>
          </cell>
          <cell r="L121" t="str">
            <v>ATS</v>
          </cell>
          <cell r="M121">
            <v>2008890339</v>
          </cell>
          <cell r="N121" t="str">
            <v>HERMANTO</v>
          </cell>
          <cell r="O121" t="str">
            <v>HMT</v>
          </cell>
          <cell r="P121" t="str">
            <v>idmTVLD@jbr.indomaret.co.id</v>
          </cell>
          <cell r="Q121" t="str">
            <v>KOD. PROBOLINGGO</v>
          </cell>
          <cell r="R121" t="str">
            <v>SDS</v>
          </cell>
        </row>
        <row r="122">
          <cell r="D122" t="str">
            <v>TXMZ</v>
          </cell>
          <cell r="E122" t="str">
            <v/>
          </cell>
          <cell r="F122" t="str">
            <v>SUMBER KEDAWUNG</v>
          </cell>
          <cell r="G122" t="str">
            <v>R</v>
          </cell>
          <cell r="H122">
            <v>42399</v>
          </cell>
          <cell r="I122" t="str">
            <v>STANDARD NEW</v>
          </cell>
          <cell r="J122">
            <v>2012028418</v>
          </cell>
          <cell r="K122" t="str">
            <v>ARYANA TYAS SAPUTRA</v>
          </cell>
          <cell r="L122" t="str">
            <v>ATS</v>
          </cell>
          <cell r="M122">
            <v>2008890339</v>
          </cell>
          <cell r="N122" t="str">
            <v>HERMANTO</v>
          </cell>
          <cell r="O122" t="str">
            <v>HMT</v>
          </cell>
          <cell r="P122" t="str">
            <v>idmTXMZ@jbr.indomaret.co.id</v>
          </cell>
          <cell r="Q122" t="str">
            <v>KAB. PROBOLINGGO</v>
          </cell>
          <cell r="R122" t="str">
            <v>SDN</v>
          </cell>
        </row>
        <row r="123">
          <cell r="D123" t="str">
            <v>F2K2</v>
          </cell>
          <cell r="E123" t="str">
            <v/>
          </cell>
          <cell r="F123" t="str">
            <v>LUMBANG</v>
          </cell>
          <cell r="G123" t="str">
            <v>F</v>
          </cell>
          <cell r="H123">
            <v>45347</v>
          </cell>
          <cell r="I123" t="str">
            <v xml:space="preserve">STANDARD </v>
          </cell>
          <cell r="J123">
            <v>2012028418</v>
          </cell>
          <cell r="K123" t="str">
            <v>ARYANA TYAS SAPUTRA</v>
          </cell>
          <cell r="L123" t="str">
            <v>ATS</v>
          </cell>
          <cell r="M123">
            <v>2011003610</v>
          </cell>
          <cell r="N123" t="str">
            <v>JOKO HADI PRAMONO</v>
          </cell>
          <cell r="O123" t="str">
            <v>JHO</v>
          </cell>
          <cell r="P123" t="str">
            <v>idF2K2@jbr.indomaret.co.id</v>
          </cell>
          <cell r="Q123" t="str">
            <v>KAB. PROBOLINGGO</v>
          </cell>
          <cell r="R123" t="str">
            <v>SDS</v>
          </cell>
        </row>
        <row r="124">
          <cell r="D124" t="str">
            <v>FKQL</v>
          </cell>
          <cell r="E124"/>
          <cell r="F124" t="str">
            <v>SAPIKEREP</v>
          </cell>
          <cell r="G124" t="str">
            <v>F</v>
          </cell>
          <cell r="H124">
            <v>45968</v>
          </cell>
          <cell r="I124" t="str">
            <v>STANDARD NEW</v>
          </cell>
          <cell r="J124">
            <v>2012028418</v>
          </cell>
          <cell r="K124" t="str">
            <v>ARYANA TYAS SAPUTRA</v>
          </cell>
          <cell r="L124" t="str">
            <v>ATS</v>
          </cell>
          <cell r="M124">
            <v>2011003610</v>
          </cell>
          <cell r="N124" t="str">
            <v>JOKO HADI PRAMONO</v>
          </cell>
          <cell r="O124" t="str">
            <v>JHO</v>
          </cell>
          <cell r="P124" t="str">
            <v>idFKQL@jbr.indomaret.co.id</v>
          </cell>
          <cell r="Q124" t="str">
            <v>KAB. PROBOLINGGO</v>
          </cell>
          <cell r="R124" t="str">
            <v>SDN</v>
          </cell>
        </row>
        <row r="125">
          <cell r="D125" t="str">
            <v>FZU3</v>
          </cell>
          <cell r="E125" t="str">
            <v>TQ26</v>
          </cell>
          <cell r="F125" t="str">
            <v>SUKAPURA -  PBO</v>
          </cell>
          <cell r="G125" t="str">
            <v>F</v>
          </cell>
          <cell r="H125">
            <v>45170</v>
          </cell>
          <cell r="I125" t="str">
            <v xml:space="preserve">STANDARD </v>
          </cell>
          <cell r="J125">
            <v>2012028418</v>
          </cell>
          <cell r="K125" t="str">
            <v>ARYANA TYAS SAPUTRA</v>
          </cell>
          <cell r="L125" t="str">
            <v>ATS</v>
          </cell>
          <cell r="M125">
            <v>2011003610</v>
          </cell>
          <cell r="N125" t="str">
            <v>JOKO HADI PRAMONO</v>
          </cell>
          <cell r="O125" t="str">
            <v>JHO</v>
          </cell>
          <cell r="P125" t="str">
            <v>idFZU3@jbr.indomaret.co.id</v>
          </cell>
          <cell r="Q125" t="str">
            <v>KAB. PROBOLINGGO</v>
          </cell>
          <cell r="R125" t="str">
            <v>SDS</v>
          </cell>
        </row>
        <row r="126">
          <cell r="D126" t="str">
            <v>T78T</v>
          </cell>
          <cell r="E126" t="str">
            <v/>
          </cell>
          <cell r="F126" t="str">
            <v>RAYA TONGAS PBO</v>
          </cell>
          <cell r="G126" t="str">
            <v>R</v>
          </cell>
          <cell r="H126">
            <v>40753</v>
          </cell>
          <cell r="I126" t="str">
            <v xml:space="preserve">STANDARD </v>
          </cell>
          <cell r="J126">
            <v>2012028418</v>
          </cell>
          <cell r="K126" t="str">
            <v>ARYANA TYAS SAPUTRA</v>
          </cell>
          <cell r="L126" t="str">
            <v>ATS</v>
          </cell>
          <cell r="M126">
            <v>2011003610</v>
          </cell>
          <cell r="N126" t="str">
            <v>JOKO HADI PRAMONO</v>
          </cell>
          <cell r="O126" t="str">
            <v>JHO</v>
          </cell>
          <cell r="P126" t="str">
            <v>idmT78T@jbr.indomaret.co.id</v>
          </cell>
          <cell r="Q126" t="str">
            <v>KAB. PROBOLINGGO</v>
          </cell>
          <cell r="R126" t="str">
            <v>SDS</v>
          </cell>
        </row>
        <row r="127">
          <cell r="D127" t="str">
            <v>TBIA</v>
          </cell>
          <cell r="E127" t="str">
            <v/>
          </cell>
          <cell r="F127" t="str">
            <v>TONGAS WETAN</v>
          </cell>
          <cell r="G127" t="str">
            <v>R</v>
          </cell>
          <cell r="H127">
            <v>42794</v>
          </cell>
          <cell r="I127" t="str">
            <v xml:space="preserve">STANDARD </v>
          </cell>
          <cell r="J127">
            <v>2012028418</v>
          </cell>
          <cell r="K127" t="str">
            <v>ARYANA TYAS SAPUTRA</v>
          </cell>
          <cell r="L127" t="str">
            <v>ATS</v>
          </cell>
          <cell r="M127">
            <v>2011003610</v>
          </cell>
          <cell r="N127" t="str">
            <v>JOKO HADI PRAMONO</v>
          </cell>
          <cell r="O127" t="str">
            <v>JHO</v>
          </cell>
          <cell r="P127" t="str">
            <v>idmTBIA@jbr.indomaret.co.id</v>
          </cell>
          <cell r="Q127" t="str">
            <v>KAB. PROBOLINGGO</v>
          </cell>
          <cell r="R127" t="str">
            <v>SDS</v>
          </cell>
        </row>
        <row r="128">
          <cell r="D128" t="str">
            <v>TJBT</v>
          </cell>
          <cell r="E128" t="str">
            <v>FSOD</v>
          </cell>
          <cell r="F128" t="str">
            <v>TAMBAKREJO TONGAS</v>
          </cell>
          <cell r="G128" t="str">
            <v>R</v>
          </cell>
          <cell r="H128">
            <v>44866</v>
          </cell>
          <cell r="I128" t="str">
            <v xml:space="preserve">STANDARD </v>
          </cell>
          <cell r="J128">
            <v>2012028418</v>
          </cell>
          <cell r="K128" t="str">
            <v>ARYANA TYAS SAPUTRA</v>
          </cell>
          <cell r="L128" t="str">
            <v>ATS</v>
          </cell>
          <cell r="M128">
            <v>2011003610</v>
          </cell>
          <cell r="N128" t="str">
            <v>JOKO HADI PRAMONO</v>
          </cell>
          <cell r="O128" t="str">
            <v>JHO</v>
          </cell>
          <cell r="P128" t="str">
            <v>idFSOD@jbr.indomaret.co.id</v>
          </cell>
          <cell r="Q128" t="str">
            <v>KAB. PROBOLINGGO</v>
          </cell>
          <cell r="R128" t="str">
            <v>SDS</v>
          </cell>
        </row>
        <row r="129">
          <cell r="D129" t="str">
            <v>TKMB</v>
          </cell>
          <cell r="E129" t="str">
            <v/>
          </cell>
          <cell r="F129" t="str">
            <v>BANJARSARI</v>
          </cell>
          <cell r="G129" t="str">
            <v>R</v>
          </cell>
          <cell r="H129">
            <v>42021</v>
          </cell>
          <cell r="I129" t="str">
            <v xml:space="preserve">STANDARD </v>
          </cell>
          <cell r="J129">
            <v>2012028418</v>
          </cell>
          <cell r="K129" t="str">
            <v>ARYANA TYAS SAPUTRA</v>
          </cell>
          <cell r="L129" t="str">
            <v>ATS</v>
          </cell>
          <cell r="M129">
            <v>2011003610</v>
          </cell>
          <cell r="N129" t="str">
            <v>JOKO HADI PRAMONO</v>
          </cell>
          <cell r="O129" t="str">
            <v>JHO</v>
          </cell>
          <cell r="P129" t="str">
            <v>idmTKMB@jbr.indomaret.co.id</v>
          </cell>
          <cell r="Q129" t="str">
            <v>KAB. PROBOLINGGO</v>
          </cell>
          <cell r="R129" t="str">
            <v>SDS</v>
          </cell>
        </row>
        <row r="130">
          <cell r="D130" t="str">
            <v>TOFL</v>
          </cell>
          <cell r="E130" t="str">
            <v/>
          </cell>
          <cell r="F130" t="str">
            <v>RAYA TAMBAK REJO</v>
          </cell>
          <cell r="G130" t="str">
            <v>R</v>
          </cell>
          <cell r="H130">
            <v>42847</v>
          </cell>
          <cell r="I130" t="str">
            <v xml:space="preserve">STANDARD </v>
          </cell>
          <cell r="J130">
            <v>2012028418</v>
          </cell>
          <cell r="K130" t="str">
            <v>ARYANA TYAS SAPUTRA</v>
          </cell>
          <cell r="L130" t="str">
            <v>ATS</v>
          </cell>
          <cell r="M130">
            <v>2011003610</v>
          </cell>
          <cell r="N130" t="str">
            <v>JOKO HADI PRAMONO</v>
          </cell>
          <cell r="O130" t="str">
            <v>JHO</v>
          </cell>
          <cell r="P130" t="str">
            <v>idmTOFL@jbr.indomaret.co.id</v>
          </cell>
          <cell r="Q130" t="str">
            <v>KAB. PROBOLINGGO</v>
          </cell>
          <cell r="R130" t="str">
            <v>SDS</v>
          </cell>
        </row>
        <row r="131">
          <cell r="D131" t="str">
            <v>TRDE</v>
          </cell>
          <cell r="E131" t="str">
            <v/>
          </cell>
          <cell r="F131" t="str">
            <v>POINT REST AREA KM 833 A - PBO</v>
          </cell>
          <cell r="G131" t="str">
            <v>R</v>
          </cell>
          <cell r="H131">
            <v>43616</v>
          </cell>
          <cell r="I131" t="str">
            <v>MATRIX CONVINIENCE KHUSUS</v>
          </cell>
          <cell r="J131">
            <v>2012028418</v>
          </cell>
          <cell r="K131" t="str">
            <v>ARYANA TYAS SAPUTRA</v>
          </cell>
          <cell r="L131" t="str">
            <v>ATS</v>
          </cell>
          <cell r="M131">
            <v>2011003610</v>
          </cell>
          <cell r="N131" t="str">
            <v>JOKO HADI PRAMONO</v>
          </cell>
          <cell r="O131" t="str">
            <v>JHO</v>
          </cell>
          <cell r="P131" t="str">
            <v>idmTRDE@jbr.indomaret.co.id</v>
          </cell>
          <cell r="Q131" t="str">
            <v>KAB. PROBOLINGGO</v>
          </cell>
          <cell r="R131" t="str">
            <v>MCK</v>
          </cell>
        </row>
        <row r="132">
          <cell r="D132" t="str">
            <v>TRRI</v>
          </cell>
          <cell r="E132" t="str">
            <v/>
          </cell>
          <cell r="F132" t="str">
            <v>RAYA PANGLIMA SUDIRMAN TONGAS</v>
          </cell>
          <cell r="G132" t="str">
            <v>R</v>
          </cell>
          <cell r="H132">
            <v>41912</v>
          </cell>
          <cell r="I132" t="str">
            <v xml:space="preserve">STANDARD </v>
          </cell>
          <cell r="J132">
            <v>2012028418</v>
          </cell>
          <cell r="K132" t="str">
            <v>ARYANA TYAS SAPUTRA</v>
          </cell>
          <cell r="L132" t="str">
            <v>ATS</v>
          </cell>
          <cell r="M132">
            <v>2011003610</v>
          </cell>
          <cell r="N132" t="str">
            <v>JOKO HADI PRAMONO</v>
          </cell>
          <cell r="O132" t="str">
            <v>JHO</v>
          </cell>
          <cell r="P132" t="str">
            <v>idmTRRI@jbr.indomaret.co.id</v>
          </cell>
          <cell r="Q132" t="str">
            <v>KAB. PROBOLINGGO</v>
          </cell>
          <cell r="R132" t="str">
            <v>SDS</v>
          </cell>
        </row>
        <row r="133">
          <cell r="D133" t="str">
            <v>TUCX</v>
          </cell>
          <cell r="E133" t="str">
            <v/>
          </cell>
          <cell r="F133" t="str">
            <v>POINT REST AREA TOL 819 A - PBO</v>
          </cell>
          <cell r="G133" t="str">
            <v>R</v>
          </cell>
          <cell r="H133">
            <v>43827</v>
          </cell>
          <cell r="I133" t="str">
            <v>MATRIX CONVINIENCE KHUSUS</v>
          </cell>
          <cell r="J133">
            <v>2012028418</v>
          </cell>
          <cell r="K133" t="str">
            <v>ARYANA TYAS SAPUTRA</v>
          </cell>
          <cell r="L133" t="str">
            <v>ATS</v>
          </cell>
          <cell r="M133">
            <v>2011003610</v>
          </cell>
          <cell r="N133" t="str">
            <v>JOKO HADI PRAMONO</v>
          </cell>
          <cell r="O133" t="str">
            <v>JHO</v>
          </cell>
          <cell r="P133" t="str">
            <v>idmTUCX@jbr.indomaret.co.id</v>
          </cell>
          <cell r="Q133" t="str">
            <v>KAB. PROBOLINGGO</v>
          </cell>
          <cell r="R133" t="str">
            <v>MCK</v>
          </cell>
        </row>
        <row r="134">
          <cell r="D134" t="str">
            <v>FFHT</v>
          </cell>
          <cell r="E134" t="str">
            <v>TOPR</v>
          </cell>
          <cell r="F134" t="str">
            <v>KARANG ANYAR - PBO</v>
          </cell>
          <cell r="G134" t="str">
            <v>F</v>
          </cell>
          <cell r="H134">
            <v>45627</v>
          </cell>
          <cell r="I134" t="str">
            <v xml:space="preserve">STANDARD </v>
          </cell>
          <cell r="J134">
            <v>2012028418</v>
          </cell>
          <cell r="K134" t="str">
            <v>ARYANA TYAS SAPUTRA</v>
          </cell>
          <cell r="L134" t="str">
            <v>ATS</v>
          </cell>
          <cell r="M134">
            <v>2013025824</v>
          </cell>
          <cell r="N134" t="str">
            <v>SAHRUL AZIZ</v>
          </cell>
          <cell r="O134" t="str">
            <v>SAZ</v>
          </cell>
          <cell r="P134" t="str">
            <v>idFFHT@jbr.indomaret.co.id</v>
          </cell>
          <cell r="Q134" t="str">
            <v>KAB. PROBOLINGGO</v>
          </cell>
          <cell r="R134" t="str">
            <v>SDS</v>
          </cell>
        </row>
        <row r="135">
          <cell r="D135" t="str">
            <v>FFRX</v>
          </cell>
          <cell r="E135"/>
          <cell r="F135" t="str">
            <v>BENGAWAN SOLO</v>
          </cell>
          <cell r="G135" t="str">
            <v>F</v>
          </cell>
          <cell r="H135">
            <v>45989</v>
          </cell>
          <cell r="I135" t="str">
            <v xml:space="preserve">STANDARD </v>
          </cell>
          <cell r="J135">
            <v>2012028418</v>
          </cell>
          <cell r="K135" t="str">
            <v>ARYANA TYAS SAPUTRA</v>
          </cell>
          <cell r="L135" t="str">
            <v>ATS</v>
          </cell>
          <cell r="M135">
            <v>2013025824</v>
          </cell>
          <cell r="N135" t="str">
            <v>SAHRUL AZIZ</v>
          </cell>
          <cell r="O135" t="str">
            <v>SAZ</v>
          </cell>
          <cell r="P135" t="str">
            <v>idFFRX@jbr.indomaret.co.id</v>
          </cell>
          <cell r="Q135" t="str">
            <v>KOD. PROBOLINGGO</v>
          </cell>
          <cell r="R135" t="str">
            <v>SDS</v>
          </cell>
        </row>
        <row r="136">
          <cell r="D136" t="str">
            <v>FMWG</v>
          </cell>
          <cell r="E136" t="str">
            <v/>
          </cell>
          <cell r="F136" t="str">
            <v>TRIWUNG LOR</v>
          </cell>
          <cell r="G136" t="str">
            <v>F</v>
          </cell>
          <cell r="H136">
            <v>44943</v>
          </cell>
          <cell r="I136" t="str">
            <v>STANDARD NEW</v>
          </cell>
          <cell r="J136">
            <v>2012028418</v>
          </cell>
          <cell r="K136" t="str">
            <v>ARYANA TYAS SAPUTRA</v>
          </cell>
          <cell r="L136" t="str">
            <v>ATS</v>
          </cell>
          <cell r="M136">
            <v>2013025824</v>
          </cell>
          <cell r="N136" t="str">
            <v>SAHRUL AZIZ</v>
          </cell>
          <cell r="O136" t="str">
            <v>SAZ</v>
          </cell>
          <cell r="P136" t="str">
            <v>idFMWG@jbr.indomaret.co.id</v>
          </cell>
          <cell r="Q136" t="str">
            <v>KOD. PROBOLINGGO</v>
          </cell>
          <cell r="R136" t="str">
            <v>SDN</v>
          </cell>
        </row>
        <row r="137">
          <cell r="D137" t="str">
            <v>FORA</v>
          </cell>
          <cell r="E137" t="str">
            <v>TEQU</v>
          </cell>
          <cell r="F137" t="str">
            <v>ANGGUR</v>
          </cell>
          <cell r="G137" t="str">
            <v>F</v>
          </cell>
          <cell r="H137">
            <v>45108</v>
          </cell>
          <cell r="I137" t="str">
            <v xml:space="preserve">STANDARD </v>
          </cell>
          <cell r="J137">
            <v>2012028418</v>
          </cell>
          <cell r="K137" t="str">
            <v>ARYANA TYAS SAPUTRA</v>
          </cell>
          <cell r="L137" t="str">
            <v>ATS</v>
          </cell>
          <cell r="M137">
            <v>2013025824</v>
          </cell>
          <cell r="N137" t="str">
            <v>SAHRUL AZIZ</v>
          </cell>
          <cell r="O137" t="str">
            <v>SAZ</v>
          </cell>
          <cell r="P137" t="str">
            <v>idmFORA@jbr.indomaret.co.id</v>
          </cell>
          <cell r="Q137" t="str">
            <v>KOD. PROBOLINGGO</v>
          </cell>
          <cell r="R137" t="str">
            <v>SDS</v>
          </cell>
        </row>
        <row r="138">
          <cell r="D138" t="str">
            <v>FP1K</v>
          </cell>
          <cell r="E138" t="str">
            <v/>
          </cell>
          <cell r="F138" t="str">
            <v>BANTARAN</v>
          </cell>
          <cell r="G138" t="str">
            <v>F</v>
          </cell>
          <cell r="H138">
            <v>45570</v>
          </cell>
          <cell r="I138" t="str">
            <v xml:space="preserve">STANDARD </v>
          </cell>
          <cell r="J138">
            <v>2012028418</v>
          </cell>
          <cell r="K138" t="str">
            <v>ARYANA TYAS SAPUTRA</v>
          </cell>
          <cell r="L138" t="str">
            <v>ATS</v>
          </cell>
          <cell r="M138">
            <v>2013025824</v>
          </cell>
          <cell r="N138" t="str">
            <v>SAHRUL AZIZ</v>
          </cell>
          <cell r="O138" t="str">
            <v>SAZ</v>
          </cell>
          <cell r="P138" t="str">
            <v>idFP1K@jbr.indomaret.co.id</v>
          </cell>
          <cell r="Q138" t="str">
            <v>KAB. PROBOLINGGO</v>
          </cell>
          <cell r="R138" t="str">
            <v>SDS</v>
          </cell>
        </row>
        <row r="139">
          <cell r="D139" t="str">
            <v>FZU5</v>
          </cell>
          <cell r="E139" t="str">
            <v>T07A</v>
          </cell>
          <cell r="F139" t="str">
            <v>MUNENG</v>
          </cell>
          <cell r="G139" t="str">
            <v>F</v>
          </cell>
          <cell r="H139">
            <v>44805</v>
          </cell>
          <cell r="I139" t="str">
            <v xml:space="preserve">STANDARD </v>
          </cell>
          <cell r="J139">
            <v>2012028418</v>
          </cell>
          <cell r="K139" t="str">
            <v>ARYANA TYAS SAPUTRA</v>
          </cell>
          <cell r="L139" t="str">
            <v>ATS</v>
          </cell>
          <cell r="M139">
            <v>2013025824</v>
          </cell>
          <cell r="N139" t="str">
            <v>SAHRUL AZIZ</v>
          </cell>
          <cell r="O139" t="str">
            <v>SAZ</v>
          </cell>
          <cell r="P139" t="str">
            <v>idFZU5@jbr.indomaret.co.id</v>
          </cell>
          <cell r="Q139" t="str">
            <v>KAB. PROBOLINGGO</v>
          </cell>
          <cell r="R139" t="str">
            <v>SDS</v>
          </cell>
        </row>
        <row r="140">
          <cell r="D140" t="str">
            <v>TANG</v>
          </cell>
          <cell r="E140" t="str">
            <v/>
          </cell>
          <cell r="F140" t="str">
            <v>JORONGAN PBO</v>
          </cell>
          <cell r="G140" t="str">
            <v>R</v>
          </cell>
          <cell r="H140">
            <v>41814</v>
          </cell>
          <cell r="I140" t="str">
            <v xml:space="preserve">STANDARD </v>
          </cell>
          <cell r="J140">
            <v>2012028418</v>
          </cell>
          <cell r="K140" t="str">
            <v>ARYANA TYAS SAPUTRA</v>
          </cell>
          <cell r="L140" t="str">
            <v>ATS</v>
          </cell>
          <cell r="M140">
            <v>2013025824</v>
          </cell>
          <cell r="N140" t="str">
            <v>SAHRUL AZIZ</v>
          </cell>
          <cell r="O140" t="str">
            <v>SAZ</v>
          </cell>
          <cell r="P140" t="str">
            <v>idmTANG@jbr.indomaret.co.id</v>
          </cell>
          <cell r="Q140" t="str">
            <v>KAB. PROBOLINGGO</v>
          </cell>
          <cell r="R140" t="str">
            <v>SDS</v>
          </cell>
        </row>
        <row r="141">
          <cell r="D141" t="str">
            <v>TBWM</v>
          </cell>
          <cell r="E141" t="str">
            <v/>
          </cell>
          <cell r="F141" t="str">
            <v>BAYUANGGA 20 B-C</v>
          </cell>
          <cell r="G141" t="str">
            <v>R</v>
          </cell>
          <cell r="H141">
            <v>43076</v>
          </cell>
          <cell r="I141" t="str">
            <v xml:space="preserve">STANDARD </v>
          </cell>
          <cell r="J141">
            <v>2012028418</v>
          </cell>
          <cell r="K141" t="str">
            <v>ARYANA TYAS SAPUTRA</v>
          </cell>
          <cell r="L141" t="str">
            <v>ATS</v>
          </cell>
          <cell r="M141">
            <v>2013025824</v>
          </cell>
          <cell r="N141" t="str">
            <v>SAHRUL AZIZ</v>
          </cell>
          <cell r="O141" t="str">
            <v>SAZ</v>
          </cell>
          <cell r="P141" t="str">
            <v>idmTBWM@jbr.indomaret.co.id</v>
          </cell>
          <cell r="Q141" t="str">
            <v>KOD. PROBOLINGGO</v>
          </cell>
          <cell r="R141" t="str">
            <v>SDS</v>
          </cell>
        </row>
        <row r="142">
          <cell r="D142" t="str">
            <v>TEBL</v>
          </cell>
          <cell r="E142" t="str">
            <v/>
          </cell>
          <cell r="F142" t="str">
            <v>BRANTAS</v>
          </cell>
          <cell r="G142" t="str">
            <v>R</v>
          </cell>
          <cell r="H142">
            <v>42427</v>
          </cell>
          <cell r="I142" t="str">
            <v xml:space="preserve">STANDARD </v>
          </cell>
          <cell r="J142">
            <v>2012028418</v>
          </cell>
          <cell r="K142" t="str">
            <v>ARYANA TYAS SAPUTRA</v>
          </cell>
          <cell r="L142" t="str">
            <v>ATS</v>
          </cell>
          <cell r="M142">
            <v>2013025824</v>
          </cell>
          <cell r="N142" t="str">
            <v>SAHRUL AZIZ</v>
          </cell>
          <cell r="O142" t="str">
            <v>SAZ</v>
          </cell>
          <cell r="P142" t="str">
            <v>idmTEBL@jbr.indomaret.co.id</v>
          </cell>
          <cell r="Q142" t="str">
            <v>KOD. PROBOLINGGO</v>
          </cell>
          <cell r="R142" t="str">
            <v>SDS</v>
          </cell>
        </row>
        <row r="143">
          <cell r="D143" t="str">
            <v>TJDJ</v>
          </cell>
          <cell r="E143" t="str">
            <v/>
          </cell>
          <cell r="F143" t="str">
            <v>SLAMET RIYADI PBO</v>
          </cell>
          <cell r="G143" t="str">
            <v>R</v>
          </cell>
          <cell r="H143">
            <v>43502</v>
          </cell>
          <cell r="I143" t="str">
            <v>STANDARD NEW</v>
          </cell>
          <cell r="J143">
            <v>2012028418</v>
          </cell>
          <cell r="K143" t="str">
            <v>ARYANA TYAS SAPUTRA</v>
          </cell>
          <cell r="L143" t="str">
            <v>ATS</v>
          </cell>
          <cell r="M143">
            <v>2013025824</v>
          </cell>
          <cell r="N143" t="str">
            <v>SAHRUL AZIZ</v>
          </cell>
          <cell r="O143" t="str">
            <v>SAZ</v>
          </cell>
          <cell r="P143" t="str">
            <v>idmTJDJ@jbr.indomaret.co.id</v>
          </cell>
          <cell r="Q143" t="str">
            <v>KOD. PROBOLINGGO</v>
          </cell>
          <cell r="R143" t="str">
            <v>SDN</v>
          </cell>
        </row>
        <row r="144">
          <cell r="D144" t="str">
            <v>TLTS</v>
          </cell>
          <cell r="E144" t="str">
            <v/>
          </cell>
          <cell r="F144" t="str">
            <v>DR.BUYA HAMKA</v>
          </cell>
          <cell r="G144" t="str">
            <v>R</v>
          </cell>
          <cell r="H144">
            <v>42368</v>
          </cell>
          <cell r="I144" t="str">
            <v xml:space="preserve">STANDARD </v>
          </cell>
          <cell r="J144">
            <v>2012028418</v>
          </cell>
          <cell r="K144" t="str">
            <v>ARYANA TYAS SAPUTRA</v>
          </cell>
          <cell r="L144" t="str">
            <v>ATS</v>
          </cell>
          <cell r="M144">
            <v>2013025824</v>
          </cell>
          <cell r="N144" t="str">
            <v>SAHRUL AZIZ</v>
          </cell>
          <cell r="O144" t="str">
            <v>SAZ</v>
          </cell>
          <cell r="P144" t="str">
            <v>idmTLTS@jbr.indomaret.co.id</v>
          </cell>
          <cell r="Q144" t="str">
            <v>KOD. PROBOLINGGO</v>
          </cell>
          <cell r="R144" t="str">
            <v>SDS</v>
          </cell>
        </row>
        <row r="145">
          <cell r="D145" t="str">
            <v>TNLT</v>
          </cell>
          <cell r="E145" t="str">
            <v/>
          </cell>
          <cell r="F145" t="str">
            <v>WONOMERTO</v>
          </cell>
          <cell r="G145" t="str">
            <v>R</v>
          </cell>
          <cell r="H145">
            <v>44967</v>
          </cell>
          <cell r="I145" t="str">
            <v xml:space="preserve">STANDARD </v>
          </cell>
          <cell r="J145">
            <v>2012028418</v>
          </cell>
          <cell r="K145" t="str">
            <v>ARYANA TYAS SAPUTRA</v>
          </cell>
          <cell r="L145" t="str">
            <v>ATS</v>
          </cell>
          <cell r="M145">
            <v>2013025824</v>
          </cell>
          <cell r="N145" t="str">
            <v>SAHRUL AZIZ</v>
          </cell>
          <cell r="O145" t="str">
            <v>SAZ</v>
          </cell>
          <cell r="P145" t="str">
            <v>idmTNLT@jbr.indomaret.co.id</v>
          </cell>
          <cell r="Q145" t="str">
            <v>KAB. PROBOLINGGO</v>
          </cell>
          <cell r="R145" t="str">
            <v>SDS</v>
          </cell>
        </row>
        <row r="146">
          <cell r="D146" t="str">
            <v>TVWI</v>
          </cell>
          <cell r="E146" t="str">
            <v/>
          </cell>
          <cell r="F146" t="str">
            <v>WARUJINGGO</v>
          </cell>
          <cell r="G146" t="str">
            <v>R</v>
          </cell>
          <cell r="H146">
            <v>42993</v>
          </cell>
          <cell r="I146" t="str">
            <v xml:space="preserve">STANDARD </v>
          </cell>
          <cell r="J146">
            <v>2012028418</v>
          </cell>
          <cell r="K146" t="str">
            <v>ARYANA TYAS SAPUTRA</v>
          </cell>
          <cell r="L146" t="str">
            <v>ATS</v>
          </cell>
          <cell r="M146">
            <v>2013025824</v>
          </cell>
          <cell r="N146" t="str">
            <v>SAHRUL AZIZ</v>
          </cell>
          <cell r="O146" t="str">
            <v>SAZ</v>
          </cell>
          <cell r="P146" t="str">
            <v>idmTVWI@jbr.indomaret.co.id</v>
          </cell>
          <cell r="Q146" t="str">
            <v>KAB. PROBOLINGGO</v>
          </cell>
          <cell r="R146" t="str">
            <v>SDS</v>
          </cell>
        </row>
        <row r="147">
          <cell r="D147" t="str">
            <v>F6QF</v>
          </cell>
          <cell r="E147"/>
          <cell r="F147" t="str">
            <v>BRUMBUNGAN LOR</v>
          </cell>
          <cell r="G147" t="str">
            <v>F</v>
          </cell>
          <cell r="H147">
            <v>46041</v>
          </cell>
          <cell r="I147" t="str">
            <v xml:space="preserve">STANDARD </v>
          </cell>
          <cell r="J147">
            <v>2012028418</v>
          </cell>
          <cell r="K147" t="str">
            <v>ARYANA TYAS SAPUTRA</v>
          </cell>
          <cell r="L147" t="str">
            <v>ATS</v>
          </cell>
          <cell r="M147">
            <v>2008420142</v>
          </cell>
          <cell r="N147" t="str">
            <v>UNDADI</v>
          </cell>
          <cell r="O147" t="str">
            <v>UDI</v>
          </cell>
          <cell r="P147" t="str">
            <v>idF6QF@jbr.indomaret.co.id</v>
          </cell>
          <cell r="Q147" t="str">
            <v>KAB. PROBOLINGGO</v>
          </cell>
          <cell r="R147" t="str">
            <v>SDS</v>
          </cell>
        </row>
        <row r="148">
          <cell r="D148" t="str">
            <v>FS1P</v>
          </cell>
          <cell r="E148" t="str">
            <v/>
          </cell>
          <cell r="F148" t="str">
            <v>PAJARAKAN KM 111</v>
          </cell>
          <cell r="G148" t="str">
            <v>F</v>
          </cell>
          <cell r="H148">
            <v>45538</v>
          </cell>
          <cell r="I148" t="str">
            <v xml:space="preserve">STANDARD </v>
          </cell>
          <cell r="J148">
            <v>2012028418</v>
          </cell>
          <cell r="K148" t="str">
            <v>ARYANA TYAS SAPUTRA</v>
          </cell>
          <cell r="L148" t="str">
            <v>ATS</v>
          </cell>
          <cell r="M148">
            <v>2008420142</v>
          </cell>
          <cell r="N148" t="str">
            <v>UNDADI</v>
          </cell>
          <cell r="O148" t="str">
            <v>UDI</v>
          </cell>
          <cell r="P148" t="str">
            <v>idFS1P@jbr.indomaret.co.id</v>
          </cell>
          <cell r="Q148" t="str">
            <v>KAB. PROBOLINGGO</v>
          </cell>
          <cell r="R148" t="str">
            <v>SDS</v>
          </cell>
        </row>
        <row r="149">
          <cell r="D149" t="str">
            <v>FSZO</v>
          </cell>
          <cell r="E149" t="str">
            <v/>
          </cell>
          <cell r="F149" t="str">
            <v>PAJARAKAN LAND</v>
          </cell>
          <cell r="G149" t="str">
            <v>F</v>
          </cell>
          <cell r="H149">
            <v>44736</v>
          </cell>
          <cell r="I149" t="str">
            <v xml:space="preserve">STANDARD </v>
          </cell>
          <cell r="J149">
            <v>2012028418</v>
          </cell>
          <cell r="K149" t="str">
            <v>ARYANA TYAS SAPUTRA</v>
          </cell>
          <cell r="L149" t="str">
            <v>ATS</v>
          </cell>
          <cell r="M149">
            <v>2008420142</v>
          </cell>
          <cell r="N149" t="str">
            <v>UNDADI</v>
          </cell>
          <cell r="O149" t="str">
            <v>UDI</v>
          </cell>
          <cell r="P149" t="str">
            <v>idFSZO@jbr.indomaret.co.id</v>
          </cell>
          <cell r="Q149" t="str">
            <v>KAB. PROBOLINGGO</v>
          </cell>
          <cell r="R149" t="str">
            <v>SDS</v>
          </cell>
        </row>
        <row r="150">
          <cell r="D150" t="str">
            <v>TDTF</v>
          </cell>
          <cell r="E150" t="str">
            <v/>
          </cell>
          <cell r="F150" t="str">
            <v>KLASEMAN</v>
          </cell>
          <cell r="G150" t="str">
            <v>R</v>
          </cell>
          <cell r="H150">
            <v>42566</v>
          </cell>
          <cell r="I150" t="str">
            <v xml:space="preserve">STANDARD </v>
          </cell>
          <cell r="J150">
            <v>2012028418</v>
          </cell>
          <cell r="K150" t="str">
            <v>ARYANA TYAS SAPUTRA</v>
          </cell>
          <cell r="L150" t="str">
            <v>ATS</v>
          </cell>
          <cell r="M150">
            <v>2008420142</v>
          </cell>
          <cell r="N150" t="str">
            <v>UNDADI</v>
          </cell>
          <cell r="O150" t="str">
            <v>UDI</v>
          </cell>
          <cell r="P150" t="str">
            <v>idmTDTF@jbr.indomaret.co.id</v>
          </cell>
          <cell r="Q150" t="str">
            <v>KAB. PROBOLINGGO</v>
          </cell>
          <cell r="R150" t="str">
            <v>SDS</v>
          </cell>
        </row>
        <row r="151">
          <cell r="D151" t="str">
            <v>TFBF</v>
          </cell>
          <cell r="E151" t="str">
            <v/>
          </cell>
          <cell r="F151" t="str">
            <v>KARANG GEGER</v>
          </cell>
          <cell r="G151" t="str">
            <v>R</v>
          </cell>
          <cell r="H151">
            <v>42185</v>
          </cell>
          <cell r="I151" t="str">
            <v xml:space="preserve">STANDARD </v>
          </cell>
          <cell r="J151">
            <v>2012028418</v>
          </cell>
          <cell r="K151" t="str">
            <v>ARYANA TYAS SAPUTRA</v>
          </cell>
          <cell r="L151" t="str">
            <v>ATS</v>
          </cell>
          <cell r="M151">
            <v>2008420142</v>
          </cell>
          <cell r="N151" t="str">
            <v>UNDADI</v>
          </cell>
          <cell r="O151" t="str">
            <v>UDI</v>
          </cell>
          <cell r="P151" t="str">
            <v>idmTFBF@jbr.indomaret.co.id</v>
          </cell>
          <cell r="Q151" t="str">
            <v>KAB. PROBOLINGGO</v>
          </cell>
          <cell r="R151" t="str">
            <v>SDS</v>
          </cell>
        </row>
        <row r="152">
          <cell r="D152" t="str">
            <v>THZW</v>
          </cell>
          <cell r="E152" t="str">
            <v>F88W</v>
          </cell>
          <cell r="F152" t="str">
            <v>BINOR - PBO</v>
          </cell>
          <cell r="G152" t="str">
            <v>R</v>
          </cell>
          <cell r="H152">
            <v>43070</v>
          </cell>
          <cell r="I152" t="str">
            <v xml:space="preserve">STANDARD </v>
          </cell>
          <cell r="J152">
            <v>2012028418</v>
          </cell>
          <cell r="K152" t="str">
            <v>ARYANA TYAS SAPUTRA</v>
          </cell>
          <cell r="L152" t="str">
            <v>ATS</v>
          </cell>
          <cell r="M152">
            <v>2008420142</v>
          </cell>
          <cell r="N152" t="str">
            <v>UNDADI</v>
          </cell>
          <cell r="O152" t="str">
            <v>UDI</v>
          </cell>
          <cell r="P152" t="str">
            <v>idmTHZW@jbr.indomaret.co.id</v>
          </cell>
          <cell r="Q152" t="str">
            <v>KAB. PROBOLINGGO</v>
          </cell>
          <cell r="R152" t="str">
            <v>SDS</v>
          </cell>
        </row>
        <row r="153">
          <cell r="D153" t="str">
            <v>TKZN</v>
          </cell>
          <cell r="E153" t="str">
            <v>F11L</v>
          </cell>
          <cell r="F153" t="str">
            <v>PAJARAKAN</v>
          </cell>
          <cell r="G153" t="str">
            <v>R</v>
          </cell>
          <cell r="H153">
            <v>43525</v>
          </cell>
          <cell r="I153" t="str">
            <v xml:space="preserve">STANDARD </v>
          </cell>
          <cell r="J153">
            <v>2012028418</v>
          </cell>
          <cell r="K153" t="str">
            <v>ARYANA TYAS SAPUTRA</v>
          </cell>
          <cell r="L153" t="str">
            <v>ATS</v>
          </cell>
          <cell r="M153">
            <v>2008420142</v>
          </cell>
          <cell r="N153" t="str">
            <v>UNDADI</v>
          </cell>
          <cell r="O153" t="str">
            <v>UDI</v>
          </cell>
          <cell r="P153" t="str">
            <v>idmTKZN@jbr.indomaret.co.id</v>
          </cell>
          <cell r="Q153" t="str">
            <v>KAB. PROBOLINGGO</v>
          </cell>
          <cell r="R153" t="str">
            <v>SDS</v>
          </cell>
        </row>
        <row r="154">
          <cell r="D154" t="str">
            <v>TMH6</v>
          </cell>
          <cell r="E154" t="str">
            <v/>
          </cell>
          <cell r="F154" t="str">
            <v>KOTA ANYAR</v>
          </cell>
          <cell r="G154" t="str">
            <v>R</v>
          </cell>
          <cell r="H154">
            <v>45535</v>
          </cell>
          <cell r="I154" t="str">
            <v>STANDARD NEW</v>
          </cell>
          <cell r="J154">
            <v>2012028418</v>
          </cell>
          <cell r="K154" t="str">
            <v>ARYANA TYAS SAPUTRA</v>
          </cell>
          <cell r="L154" t="str">
            <v>ATS</v>
          </cell>
          <cell r="M154">
            <v>2008420142</v>
          </cell>
          <cell r="N154" t="str">
            <v>UNDADI</v>
          </cell>
          <cell r="O154" t="str">
            <v>UDI</v>
          </cell>
          <cell r="P154" t="str">
            <v>idmTMH6@jbr.indomaret.co.id</v>
          </cell>
          <cell r="Q154" t="str">
            <v>KAB. PROBOLINGGO</v>
          </cell>
          <cell r="R154" t="str">
            <v>SDN</v>
          </cell>
        </row>
        <row r="155">
          <cell r="D155" t="str">
            <v>TOFU</v>
          </cell>
          <cell r="E155" t="str">
            <v/>
          </cell>
          <cell r="F155" t="str">
            <v>DRINGU SINTO PBO</v>
          </cell>
          <cell r="G155" t="str">
            <v>R</v>
          </cell>
          <cell r="H155">
            <v>41790</v>
          </cell>
          <cell r="I155" t="str">
            <v xml:space="preserve">STANDARD </v>
          </cell>
          <cell r="J155">
            <v>2012028418</v>
          </cell>
          <cell r="K155" t="str">
            <v>ARYANA TYAS SAPUTRA</v>
          </cell>
          <cell r="L155" t="str">
            <v>ATS</v>
          </cell>
          <cell r="M155">
            <v>2008420142</v>
          </cell>
          <cell r="N155" t="str">
            <v>UNDADI</v>
          </cell>
          <cell r="O155" t="str">
            <v>UDI</v>
          </cell>
          <cell r="P155" t="str">
            <v>idmTOFU@jbr.indomaret.co.id</v>
          </cell>
          <cell r="Q155" t="str">
            <v>KAB. PROBOLINGGO</v>
          </cell>
          <cell r="R155" t="str">
            <v>SDS</v>
          </cell>
        </row>
        <row r="156">
          <cell r="D156" t="str">
            <v>TVUS</v>
          </cell>
          <cell r="E156" t="str">
            <v/>
          </cell>
          <cell r="F156" t="str">
            <v>PAITON KM 137</v>
          </cell>
          <cell r="G156" t="str">
            <v>R</v>
          </cell>
          <cell r="H156">
            <v>41817</v>
          </cell>
          <cell r="I156" t="str">
            <v xml:space="preserve">STANDARD </v>
          </cell>
          <cell r="J156">
            <v>2012028418</v>
          </cell>
          <cell r="K156" t="str">
            <v>ARYANA TYAS SAPUTRA</v>
          </cell>
          <cell r="L156" t="str">
            <v>ATS</v>
          </cell>
          <cell r="M156">
            <v>2008420142</v>
          </cell>
          <cell r="N156" t="str">
            <v>UNDADI</v>
          </cell>
          <cell r="O156" t="str">
            <v>UDI</v>
          </cell>
          <cell r="P156" t="str">
            <v>idmTVUS@jbr.indomaret.co.id</v>
          </cell>
          <cell r="Q156" t="str">
            <v>KAB. PROBOLINGGO</v>
          </cell>
          <cell r="R156" t="str">
            <v>SDS</v>
          </cell>
        </row>
        <row r="157">
          <cell r="D157" t="str">
            <v>F55F</v>
          </cell>
          <cell r="E157" t="str">
            <v>TA99</v>
          </cell>
          <cell r="F157" t="str">
            <v>KALIBARU</v>
          </cell>
          <cell r="G157" t="str">
            <v>F</v>
          </cell>
          <cell r="H157">
            <v>45627</v>
          </cell>
          <cell r="I157" t="str">
            <v>STANDARD NEW</v>
          </cell>
          <cell r="J157">
            <v>1997000607</v>
          </cell>
          <cell r="K157" t="str">
            <v>ERVAN SOEBENY</v>
          </cell>
          <cell r="L157" t="str">
            <v>ESY</v>
          </cell>
          <cell r="M157">
            <v>2009046167</v>
          </cell>
          <cell r="N157" t="str">
            <v>ABDUL SUGENG PRATAMA</v>
          </cell>
          <cell r="O157" t="str">
            <v>ASA</v>
          </cell>
          <cell r="P157" t="str">
            <v>idF55F@jbr.indomaret.co.id</v>
          </cell>
          <cell r="Q157" t="str">
            <v>KAB. BANYUWANGI</v>
          </cell>
          <cell r="R157" t="str">
            <v>SDN</v>
          </cell>
        </row>
        <row r="158">
          <cell r="D158" t="str">
            <v>F58C</v>
          </cell>
          <cell r="E158" t="str">
            <v>TA21</v>
          </cell>
          <cell r="F158" t="str">
            <v>SEMPU</v>
          </cell>
          <cell r="G158" t="str">
            <v>F</v>
          </cell>
          <cell r="H158">
            <v>45292</v>
          </cell>
          <cell r="I158" t="str">
            <v xml:space="preserve">STANDARD </v>
          </cell>
          <cell r="J158">
            <v>1997000607</v>
          </cell>
          <cell r="K158" t="str">
            <v>ERVAN SOEBENY</v>
          </cell>
          <cell r="L158" t="str">
            <v>ESY</v>
          </cell>
          <cell r="M158">
            <v>2009046167</v>
          </cell>
          <cell r="N158" t="str">
            <v>ABDUL SUGENG PRATAMA</v>
          </cell>
          <cell r="O158" t="str">
            <v>ASA</v>
          </cell>
          <cell r="P158" t="str">
            <v>idF58C@jbr.indomaret.co.id</v>
          </cell>
          <cell r="Q158" t="str">
            <v>KAB. BANYUWANGI</v>
          </cell>
          <cell r="R158" t="str">
            <v>SDS</v>
          </cell>
        </row>
        <row r="159">
          <cell r="D159" t="str">
            <v>F7Q9</v>
          </cell>
          <cell r="E159" t="str">
            <v/>
          </cell>
          <cell r="F159" t="str">
            <v>TEGALSARI</v>
          </cell>
          <cell r="G159" t="str">
            <v>F</v>
          </cell>
          <cell r="H159">
            <v>44553</v>
          </cell>
          <cell r="I159" t="str">
            <v xml:space="preserve">STANDARD </v>
          </cell>
          <cell r="J159">
            <v>1997000607</v>
          </cell>
          <cell r="K159" t="str">
            <v>ERVAN SOEBENY</v>
          </cell>
          <cell r="L159" t="str">
            <v>ESY</v>
          </cell>
          <cell r="M159">
            <v>2009046167</v>
          </cell>
          <cell r="N159" t="str">
            <v>ABDUL SUGENG PRATAMA</v>
          </cell>
          <cell r="O159" t="str">
            <v>ASA</v>
          </cell>
          <cell r="P159" t="str">
            <v>idF7Q9@jbr.indomaret.co.id</v>
          </cell>
          <cell r="Q159" t="str">
            <v>KAB. BANYUWANGI</v>
          </cell>
          <cell r="R159" t="str">
            <v>SDS</v>
          </cell>
        </row>
        <row r="160">
          <cell r="D160" t="str">
            <v>FF7X</v>
          </cell>
          <cell r="E160" t="str">
            <v/>
          </cell>
          <cell r="F160" t="str">
            <v>RAYA JEMBER BANYUWANGI NO. 59</v>
          </cell>
          <cell r="G160" t="str">
            <v>F</v>
          </cell>
          <cell r="H160">
            <v>45436</v>
          </cell>
          <cell r="I160" t="str">
            <v xml:space="preserve">STANDARD </v>
          </cell>
          <cell r="J160">
            <v>1997000607</v>
          </cell>
          <cell r="K160" t="str">
            <v>ERVAN SOEBENY</v>
          </cell>
          <cell r="L160" t="str">
            <v>ESY</v>
          </cell>
          <cell r="M160">
            <v>2009046167</v>
          </cell>
          <cell r="N160" t="str">
            <v>ABDUL SUGENG PRATAMA</v>
          </cell>
          <cell r="O160" t="str">
            <v>ASA</v>
          </cell>
          <cell r="P160" t="str">
            <v>idFF7X@jbr.indomaret.co.id</v>
          </cell>
          <cell r="Q160" t="str">
            <v>KAB. BANYUWANGI</v>
          </cell>
          <cell r="R160" t="str">
            <v>SDS</v>
          </cell>
        </row>
        <row r="161">
          <cell r="D161" t="str">
            <v>FHPA</v>
          </cell>
          <cell r="E161" t="str">
            <v/>
          </cell>
          <cell r="F161" t="str">
            <v>YOSOMULYO</v>
          </cell>
          <cell r="G161" t="str">
            <v>F</v>
          </cell>
          <cell r="H161">
            <v>45563</v>
          </cell>
          <cell r="I161" t="str">
            <v xml:space="preserve">STANDARD </v>
          </cell>
          <cell r="J161">
            <v>1997000607</v>
          </cell>
          <cell r="K161" t="str">
            <v>ERVAN SOEBENY</v>
          </cell>
          <cell r="L161" t="str">
            <v>ESY</v>
          </cell>
          <cell r="M161">
            <v>2009046167</v>
          </cell>
          <cell r="N161" t="str">
            <v>ABDUL SUGENG PRATAMA</v>
          </cell>
          <cell r="O161" t="str">
            <v>ASA</v>
          </cell>
          <cell r="P161" t="str">
            <v>idFHPA@jbr.indomaret.co.id</v>
          </cell>
          <cell r="Q161" t="str">
            <v>KAB. BANYUWANGI</v>
          </cell>
          <cell r="R161" t="str">
            <v>SDS</v>
          </cell>
        </row>
        <row r="162">
          <cell r="D162" t="str">
            <v>FI63</v>
          </cell>
          <cell r="E162" t="str">
            <v/>
          </cell>
          <cell r="F162" t="str">
            <v>WAHID HASYIM 96A</v>
          </cell>
          <cell r="G162" t="str">
            <v>F</v>
          </cell>
          <cell r="H162">
            <v>45166</v>
          </cell>
          <cell r="I162" t="str">
            <v xml:space="preserve">STANDARD </v>
          </cell>
          <cell r="J162">
            <v>1997000607</v>
          </cell>
          <cell r="K162" t="str">
            <v>ERVAN SOEBENY</v>
          </cell>
          <cell r="L162" t="str">
            <v>ESY</v>
          </cell>
          <cell r="M162">
            <v>2009046167</v>
          </cell>
          <cell r="N162" t="str">
            <v>ABDUL SUGENG PRATAMA</v>
          </cell>
          <cell r="O162" t="str">
            <v>ASA</v>
          </cell>
          <cell r="P162" t="str">
            <v>idFI63@jbr.indomaret.co.id</v>
          </cell>
          <cell r="Q162" t="str">
            <v>KAB. BANYUWANGI</v>
          </cell>
          <cell r="R162" t="str">
            <v>SDS</v>
          </cell>
        </row>
        <row r="163">
          <cell r="D163" t="str">
            <v>FN1G</v>
          </cell>
          <cell r="E163" t="str">
            <v/>
          </cell>
          <cell r="F163" t="str">
            <v>KRIKILAN</v>
          </cell>
          <cell r="G163" t="str">
            <v>F</v>
          </cell>
          <cell r="H163">
            <v>44952</v>
          </cell>
          <cell r="I163" t="str">
            <v xml:space="preserve">STANDARD </v>
          </cell>
          <cell r="J163">
            <v>1997000607</v>
          </cell>
          <cell r="K163" t="str">
            <v>ERVAN SOEBENY</v>
          </cell>
          <cell r="L163" t="str">
            <v>ESY</v>
          </cell>
          <cell r="M163">
            <v>2009046167</v>
          </cell>
          <cell r="N163" t="str">
            <v>ABDUL SUGENG PRATAMA</v>
          </cell>
          <cell r="O163" t="str">
            <v>ASA</v>
          </cell>
          <cell r="P163" t="str">
            <v>idFN1G@jbr.indomaret.co.id</v>
          </cell>
          <cell r="Q163" t="str">
            <v>KAB. BANYUWANGI</v>
          </cell>
          <cell r="R163" t="str">
            <v>SDS</v>
          </cell>
        </row>
        <row r="164">
          <cell r="D164" t="str">
            <v>FOO7</v>
          </cell>
          <cell r="E164" t="str">
            <v/>
          </cell>
          <cell r="F164" t="str">
            <v>HASANUDDIN GENTENG</v>
          </cell>
          <cell r="G164" t="str">
            <v>F</v>
          </cell>
          <cell r="H164">
            <v>45026</v>
          </cell>
          <cell r="I164" t="str">
            <v>STANDARD NEW</v>
          </cell>
          <cell r="J164">
            <v>1997000607</v>
          </cell>
          <cell r="K164" t="str">
            <v>ERVAN SOEBENY</v>
          </cell>
          <cell r="L164" t="str">
            <v>ESY</v>
          </cell>
          <cell r="M164">
            <v>2009046167</v>
          </cell>
          <cell r="N164" t="str">
            <v>ABDUL SUGENG PRATAMA</v>
          </cell>
          <cell r="O164" t="str">
            <v>ASA</v>
          </cell>
          <cell r="P164" t="str">
            <v>idFOO7@jbr.indomaret.co.id</v>
          </cell>
          <cell r="Q164" t="str">
            <v>KAB. BANYUWANGI</v>
          </cell>
          <cell r="R164" t="str">
            <v>SDN</v>
          </cell>
        </row>
        <row r="165">
          <cell r="D165" t="str">
            <v>FSXL</v>
          </cell>
          <cell r="E165" t="str">
            <v/>
          </cell>
          <cell r="F165" t="str">
            <v>GENTENG KULON</v>
          </cell>
          <cell r="G165" t="str">
            <v>F</v>
          </cell>
          <cell r="H165">
            <v>45501</v>
          </cell>
          <cell r="I165" t="str">
            <v xml:space="preserve">STANDARD </v>
          </cell>
          <cell r="J165">
            <v>1997000607</v>
          </cell>
          <cell r="K165" t="str">
            <v>ERVAN SOEBENY</v>
          </cell>
          <cell r="L165" t="str">
            <v>ESY</v>
          </cell>
          <cell r="M165">
            <v>2009046167</v>
          </cell>
          <cell r="N165" t="str">
            <v>ABDUL SUGENG PRATAMA</v>
          </cell>
          <cell r="O165" t="str">
            <v>ASA</v>
          </cell>
          <cell r="P165" t="str">
            <v>idFSXL@jbr.indomaret.co.id</v>
          </cell>
          <cell r="Q165" t="str">
            <v>KAB. BANYUWANGI</v>
          </cell>
          <cell r="R165" t="str">
            <v>SDS</v>
          </cell>
        </row>
        <row r="166">
          <cell r="D166" t="str">
            <v>FT68</v>
          </cell>
          <cell r="E166" t="str">
            <v>T19A</v>
          </cell>
          <cell r="F166" t="str">
            <v>GENTENG 3 - BANYUWANGI</v>
          </cell>
          <cell r="G166" t="str">
            <v>F</v>
          </cell>
          <cell r="H166">
            <v>44470</v>
          </cell>
          <cell r="I166" t="str">
            <v xml:space="preserve">STANDARD </v>
          </cell>
          <cell r="J166">
            <v>1997000607</v>
          </cell>
          <cell r="K166" t="str">
            <v>ERVAN SOEBENY</v>
          </cell>
          <cell r="L166" t="str">
            <v>ESY</v>
          </cell>
          <cell r="M166">
            <v>2009046167</v>
          </cell>
          <cell r="N166" t="str">
            <v>ABDUL SUGENG PRATAMA</v>
          </cell>
          <cell r="O166" t="str">
            <v>ASA</v>
          </cell>
          <cell r="P166" t="str">
            <v>idFT68@jbr.indomaret.co.id</v>
          </cell>
          <cell r="Q166" t="str">
            <v>KAB. BANYUWANGI</v>
          </cell>
          <cell r="R166" t="str">
            <v>SDS</v>
          </cell>
        </row>
        <row r="167">
          <cell r="D167" t="str">
            <v>T651</v>
          </cell>
          <cell r="E167" t="str">
            <v/>
          </cell>
          <cell r="F167" t="str">
            <v>GENTENG BANYUWANGI</v>
          </cell>
          <cell r="G167" t="str">
            <v>R</v>
          </cell>
          <cell r="H167">
            <v>38223</v>
          </cell>
          <cell r="I167" t="str">
            <v xml:space="preserve">STANDARD </v>
          </cell>
          <cell r="J167">
            <v>1997000607</v>
          </cell>
          <cell r="K167" t="str">
            <v>ERVAN SOEBENY</v>
          </cell>
          <cell r="L167" t="str">
            <v>ESY</v>
          </cell>
          <cell r="M167">
            <v>2009046167</v>
          </cell>
          <cell r="N167" t="str">
            <v>ABDUL SUGENG PRATAMA</v>
          </cell>
          <cell r="O167" t="str">
            <v>ASA</v>
          </cell>
          <cell r="P167" t="str">
            <v>idmT651@jbr.indomaret.co.id</v>
          </cell>
          <cell r="Q167" t="str">
            <v>KAB. BANYUWANGI</v>
          </cell>
          <cell r="R167" t="str">
            <v>SDS</v>
          </cell>
        </row>
        <row r="168">
          <cell r="D168" t="str">
            <v>TA49</v>
          </cell>
          <cell r="E168" t="str">
            <v/>
          </cell>
          <cell r="F168" t="str">
            <v>GLENMORE</v>
          </cell>
          <cell r="G168" t="str">
            <v>R</v>
          </cell>
          <cell r="H168">
            <v>39245</v>
          </cell>
          <cell r="I168" t="str">
            <v>STANDARD NEW</v>
          </cell>
          <cell r="J168">
            <v>1997000607</v>
          </cell>
          <cell r="K168" t="str">
            <v>ERVAN SOEBENY</v>
          </cell>
          <cell r="L168" t="str">
            <v>ESY</v>
          </cell>
          <cell r="M168">
            <v>2009046167</v>
          </cell>
          <cell r="N168" t="str">
            <v>ABDUL SUGENG PRATAMA</v>
          </cell>
          <cell r="O168" t="str">
            <v>ASA</v>
          </cell>
          <cell r="P168" t="str">
            <v>idmTA49@jbr.indomaret.co.id</v>
          </cell>
          <cell r="Q168" t="str">
            <v>KAB. BANYUWANGI</v>
          </cell>
          <cell r="R168" t="str">
            <v>SDN</v>
          </cell>
        </row>
        <row r="169">
          <cell r="D169" t="str">
            <v>TAL7</v>
          </cell>
          <cell r="E169" t="str">
            <v/>
          </cell>
          <cell r="F169" t="str">
            <v>GENTENG 4 - BANYUWANGI</v>
          </cell>
          <cell r="G169" t="str">
            <v>R</v>
          </cell>
          <cell r="H169">
            <v>40052</v>
          </cell>
          <cell r="I169" t="str">
            <v>STANDARD NEW</v>
          </cell>
          <cell r="J169">
            <v>1997000607</v>
          </cell>
          <cell r="K169" t="str">
            <v>ERVAN SOEBENY</v>
          </cell>
          <cell r="L169" t="str">
            <v>ESY</v>
          </cell>
          <cell r="M169">
            <v>2009046167</v>
          </cell>
          <cell r="N169" t="str">
            <v>ABDUL SUGENG PRATAMA</v>
          </cell>
          <cell r="O169" t="str">
            <v>ASA</v>
          </cell>
          <cell r="P169" t="str">
            <v>idmTAL7@jbr.indomaret.co.id</v>
          </cell>
          <cell r="Q169" t="str">
            <v>KAB. BANYUWANGI</v>
          </cell>
          <cell r="R169" t="str">
            <v>SDN</v>
          </cell>
        </row>
        <row r="170">
          <cell r="D170" t="str">
            <v>F7J7</v>
          </cell>
          <cell r="E170" t="str">
            <v/>
          </cell>
          <cell r="F170" t="str">
            <v>GUNUNG BATU JEMBER</v>
          </cell>
          <cell r="G170" t="str">
            <v>F</v>
          </cell>
          <cell r="H170">
            <v>44941</v>
          </cell>
          <cell r="I170" t="str">
            <v xml:space="preserve">STANDARD </v>
          </cell>
          <cell r="J170">
            <v>1997000607</v>
          </cell>
          <cell r="K170" t="str">
            <v>ERVAN SOEBENY</v>
          </cell>
          <cell r="L170" t="str">
            <v>ESY</v>
          </cell>
          <cell r="M170">
            <v>2012025600</v>
          </cell>
          <cell r="N170" t="str">
            <v>DISA SWAMBARA</v>
          </cell>
          <cell r="O170" t="str">
            <v>DSA</v>
          </cell>
          <cell r="P170" t="str">
            <v>idF7J7@jbr.indomaret.co.id</v>
          </cell>
          <cell r="Q170" t="str">
            <v>KAB. JEMBER</v>
          </cell>
          <cell r="R170" t="str">
            <v>SDS</v>
          </cell>
        </row>
        <row r="171">
          <cell r="D171" t="str">
            <v>FASH</v>
          </cell>
          <cell r="E171" t="str">
            <v>F431</v>
          </cell>
          <cell r="F171" t="str">
            <v>KARIMATA - JEMBER</v>
          </cell>
          <cell r="G171" t="str">
            <v>F</v>
          </cell>
          <cell r="H171">
            <v>45137</v>
          </cell>
          <cell r="I171" t="str">
            <v>STANDARD NEW</v>
          </cell>
          <cell r="J171">
            <v>1997000607</v>
          </cell>
          <cell r="K171" t="str">
            <v>ERVAN SOEBENY</v>
          </cell>
          <cell r="L171" t="str">
            <v>ESY</v>
          </cell>
          <cell r="M171">
            <v>2012025600</v>
          </cell>
          <cell r="N171" t="str">
            <v>DISA SWAMBARA</v>
          </cell>
          <cell r="O171" t="str">
            <v>DSA</v>
          </cell>
          <cell r="P171" t="str">
            <v>idFASH@jbr.indomaret.co.id</v>
          </cell>
          <cell r="Q171" t="str">
            <v>KAB. JEMBER</v>
          </cell>
          <cell r="R171" t="str">
            <v>SDN</v>
          </cell>
        </row>
        <row r="172">
          <cell r="D172" t="str">
            <v>FR46</v>
          </cell>
          <cell r="E172" t="str">
            <v/>
          </cell>
          <cell r="F172" t="str">
            <v>SUMBERSARI - JEMBER</v>
          </cell>
          <cell r="G172" t="str">
            <v>F</v>
          </cell>
          <cell r="H172">
            <v>45759</v>
          </cell>
          <cell r="I172" t="str">
            <v xml:space="preserve">STANDARD </v>
          </cell>
          <cell r="J172">
            <v>1997000607</v>
          </cell>
          <cell r="K172" t="str">
            <v>ERVAN SOEBENY</v>
          </cell>
          <cell r="L172" t="str">
            <v>ESY</v>
          </cell>
          <cell r="M172">
            <v>2012025600</v>
          </cell>
          <cell r="N172" t="str">
            <v>DISA SWAMBARA</v>
          </cell>
          <cell r="O172" t="str">
            <v>DSA</v>
          </cell>
          <cell r="P172" t="str">
            <v>idFR46@jbr.indomaret.co.id</v>
          </cell>
          <cell r="Q172" t="str">
            <v>KAB. JEMBER</v>
          </cell>
          <cell r="R172" t="str">
            <v>SDS</v>
          </cell>
        </row>
        <row r="173">
          <cell r="D173" t="str">
            <v>FTP5</v>
          </cell>
          <cell r="E173" t="str">
            <v/>
          </cell>
          <cell r="F173" t="str">
            <v>SEMERU - JEMBER</v>
          </cell>
          <cell r="G173" t="str">
            <v>F</v>
          </cell>
          <cell r="H173">
            <v>44720</v>
          </cell>
          <cell r="I173" t="str">
            <v xml:space="preserve">STANDARD </v>
          </cell>
          <cell r="J173">
            <v>1997000607</v>
          </cell>
          <cell r="K173" t="str">
            <v>ERVAN SOEBENY</v>
          </cell>
          <cell r="L173" t="str">
            <v>ESY</v>
          </cell>
          <cell r="M173">
            <v>2012025600</v>
          </cell>
          <cell r="N173" t="str">
            <v>DISA SWAMBARA</v>
          </cell>
          <cell r="O173" t="str">
            <v>DSA</v>
          </cell>
          <cell r="P173" t="str">
            <v>idFTP5@jbr.indomaret.co.id</v>
          </cell>
          <cell r="Q173" t="str">
            <v>KAB. JEMBER</v>
          </cell>
          <cell r="R173" t="str">
            <v>SDS</v>
          </cell>
        </row>
        <row r="174">
          <cell r="D174" t="str">
            <v>T12A</v>
          </cell>
          <cell r="E174" t="str">
            <v/>
          </cell>
          <cell r="F174" t="str">
            <v>WIROLEGI</v>
          </cell>
          <cell r="G174" t="str">
            <v>R</v>
          </cell>
          <cell r="H174">
            <v>39750</v>
          </cell>
          <cell r="I174" t="str">
            <v xml:space="preserve">STANDARD </v>
          </cell>
          <cell r="J174">
            <v>1997000607</v>
          </cell>
          <cell r="K174" t="str">
            <v>ERVAN SOEBENY</v>
          </cell>
          <cell r="L174" t="str">
            <v>ESY</v>
          </cell>
          <cell r="M174">
            <v>2012025600</v>
          </cell>
          <cell r="N174" t="str">
            <v>DISA SWAMBARA</v>
          </cell>
          <cell r="O174" t="str">
            <v>DSA</v>
          </cell>
          <cell r="P174" t="str">
            <v>idmT12A@jbr.indomaret.co.id</v>
          </cell>
          <cell r="Q174" t="str">
            <v>KAB. JEMBER</v>
          </cell>
          <cell r="R174" t="str">
            <v>SDS</v>
          </cell>
        </row>
        <row r="175">
          <cell r="D175" t="str">
            <v>TA06</v>
          </cell>
          <cell r="E175" t="str">
            <v/>
          </cell>
          <cell r="F175" t="str">
            <v>S PARMAN - JEMBER</v>
          </cell>
          <cell r="G175" t="str">
            <v>R</v>
          </cell>
          <cell r="H175">
            <v>38960</v>
          </cell>
          <cell r="I175" t="str">
            <v xml:space="preserve">STANDARD </v>
          </cell>
          <cell r="J175">
            <v>1997000607</v>
          </cell>
          <cell r="K175" t="str">
            <v>ERVAN SOEBENY</v>
          </cell>
          <cell r="L175" t="str">
            <v>ESY</v>
          </cell>
          <cell r="M175">
            <v>2012025600</v>
          </cell>
          <cell r="N175" t="str">
            <v>DISA SWAMBARA</v>
          </cell>
          <cell r="O175" t="str">
            <v>DSA</v>
          </cell>
          <cell r="P175" t="str">
            <v>idmTA06@jbr.indomaret.co.id</v>
          </cell>
          <cell r="Q175" t="str">
            <v>KAB. JEMBER</v>
          </cell>
          <cell r="R175" t="str">
            <v>SDS</v>
          </cell>
        </row>
        <row r="176">
          <cell r="D176" t="str">
            <v>TAK4</v>
          </cell>
          <cell r="E176" t="str">
            <v>F651</v>
          </cell>
          <cell r="F176" t="str">
            <v>JAWA 44 - JEMBER</v>
          </cell>
          <cell r="G176" t="str">
            <v>R</v>
          </cell>
          <cell r="H176">
            <v>42698</v>
          </cell>
          <cell r="I176" t="str">
            <v>STANDARD NEW</v>
          </cell>
          <cell r="J176">
            <v>1997000607</v>
          </cell>
          <cell r="K176" t="str">
            <v>ERVAN SOEBENY</v>
          </cell>
          <cell r="L176" t="str">
            <v>ESY</v>
          </cell>
          <cell r="M176">
            <v>2012025600</v>
          </cell>
          <cell r="N176" t="str">
            <v>DISA SWAMBARA</v>
          </cell>
          <cell r="O176" t="str">
            <v>DSA</v>
          </cell>
          <cell r="P176" t="str">
            <v>idmTAK4@jbr.indomaret.co.id</v>
          </cell>
          <cell r="Q176" t="str">
            <v>KAB. JEMBER</v>
          </cell>
          <cell r="R176" t="str">
            <v>SDN</v>
          </cell>
        </row>
        <row r="177">
          <cell r="D177" t="str">
            <v>TIRY</v>
          </cell>
          <cell r="E177" t="str">
            <v>FANE</v>
          </cell>
          <cell r="F177" t="str">
            <v>PAKUSARI JEMBER</v>
          </cell>
          <cell r="G177" t="str">
            <v>R</v>
          </cell>
          <cell r="H177">
            <v>43709</v>
          </cell>
          <cell r="I177" t="str">
            <v>STANDARD NEW</v>
          </cell>
          <cell r="J177">
            <v>1997000607</v>
          </cell>
          <cell r="K177" t="str">
            <v>ERVAN SOEBENY</v>
          </cell>
          <cell r="L177" t="str">
            <v>ESY</v>
          </cell>
          <cell r="M177">
            <v>2012025600</v>
          </cell>
          <cell r="N177" t="str">
            <v>DISA SWAMBARA</v>
          </cell>
          <cell r="O177" t="str">
            <v>DSA</v>
          </cell>
          <cell r="P177" t="str">
            <v>idmTIRY@jbr.indomaret.co.id</v>
          </cell>
          <cell r="Q177" t="str">
            <v>KAB. JEMBER</v>
          </cell>
          <cell r="R177" t="str">
            <v>SDN</v>
          </cell>
        </row>
        <row r="178">
          <cell r="D178" t="str">
            <v>TMAU</v>
          </cell>
          <cell r="E178" t="str">
            <v/>
          </cell>
          <cell r="F178" t="str">
            <v>KAMPUS JAWA</v>
          </cell>
          <cell r="G178" t="str">
            <v>R</v>
          </cell>
          <cell r="H178">
            <v>42356</v>
          </cell>
          <cell r="I178" t="str">
            <v xml:space="preserve">STANDARD </v>
          </cell>
          <cell r="J178">
            <v>1997000607</v>
          </cell>
          <cell r="K178" t="str">
            <v>ERVAN SOEBENY</v>
          </cell>
          <cell r="L178" t="str">
            <v>ESY</v>
          </cell>
          <cell r="M178">
            <v>2012025600</v>
          </cell>
          <cell r="N178" t="str">
            <v>DISA SWAMBARA</v>
          </cell>
          <cell r="O178" t="str">
            <v>DSA</v>
          </cell>
          <cell r="P178" t="str">
            <v>idmTMAU@jbr.indomaret.co.id</v>
          </cell>
          <cell r="Q178" t="str">
            <v>KAB. JEMBER</v>
          </cell>
          <cell r="R178" t="str">
            <v>SDS</v>
          </cell>
        </row>
        <row r="179">
          <cell r="D179" t="str">
            <v>TOJY</v>
          </cell>
          <cell r="E179" t="str">
            <v>FRUH</v>
          </cell>
          <cell r="F179" t="str">
            <v>RIAU - JEMBER</v>
          </cell>
          <cell r="G179" t="str">
            <v>R</v>
          </cell>
          <cell r="H179">
            <v>41974</v>
          </cell>
          <cell r="I179" t="str">
            <v xml:space="preserve">STANDARD </v>
          </cell>
          <cell r="J179">
            <v>1997000607</v>
          </cell>
          <cell r="K179" t="str">
            <v>ERVAN SOEBENY</v>
          </cell>
          <cell r="L179" t="str">
            <v>ESY</v>
          </cell>
          <cell r="M179">
            <v>2012025600</v>
          </cell>
          <cell r="N179" t="str">
            <v>DISA SWAMBARA</v>
          </cell>
          <cell r="O179" t="str">
            <v>DSA</v>
          </cell>
          <cell r="P179" t="str">
            <v>idmTOJY@jbr.indomaret.co.id</v>
          </cell>
          <cell r="Q179" t="str">
            <v>KAB. JEMBER</v>
          </cell>
          <cell r="R179" t="str">
            <v>SDS</v>
          </cell>
        </row>
        <row r="180">
          <cell r="D180" t="str">
            <v>TP4O</v>
          </cell>
          <cell r="E180" t="str">
            <v/>
          </cell>
          <cell r="F180" t="str">
            <v>PAJAJARAN - JBR</v>
          </cell>
          <cell r="G180" t="str">
            <v>R</v>
          </cell>
          <cell r="H180">
            <v>40876</v>
          </cell>
          <cell r="I180" t="str">
            <v xml:space="preserve">STANDARD </v>
          </cell>
          <cell r="J180">
            <v>1997000607</v>
          </cell>
          <cell r="K180" t="str">
            <v>ERVAN SOEBENY</v>
          </cell>
          <cell r="L180" t="str">
            <v>ESY</v>
          </cell>
          <cell r="M180">
            <v>2012025600</v>
          </cell>
          <cell r="N180" t="str">
            <v>DISA SWAMBARA</v>
          </cell>
          <cell r="O180" t="str">
            <v>DSA</v>
          </cell>
          <cell r="P180" t="str">
            <v>idmTP4O@jbr.indomaret.co.id</v>
          </cell>
          <cell r="Q180" t="str">
            <v>KAB. JEMBER</v>
          </cell>
          <cell r="R180" t="str">
            <v>SDS</v>
          </cell>
        </row>
        <row r="181">
          <cell r="D181" t="str">
            <v>F21R</v>
          </cell>
          <cell r="E181" t="str">
            <v>FL32</v>
          </cell>
          <cell r="F181" t="str">
            <v>KALIMANTAN</v>
          </cell>
          <cell r="G181" t="str">
            <v>F</v>
          </cell>
          <cell r="H181">
            <v>44835</v>
          </cell>
          <cell r="I181" t="str">
            <v xml:space="preserve">STANDARD </v>
          </cell>
          <cell r="J181">
            <v>1997000607</v>
          </cell>
          <cell r="K181" t="str">
            <v>ERVAN SOEBENY</v>
          </cell>
          <cell r="L181" t="str">
            <v>ESY</v>
          </cell>
          <cell r="M181">
            <v>2012075323</v>
          </cell>
          <cell r="N181" t="str">
            <v>MOCHAMAD RIZAL</v>
          </cell>
          <cell r="O181" t="str">
            <v>MRZ</v>
          </cell>
          <cell r="P181" t="str">
            <v>idF21R@jbr.indomaret.co.id</v>
          </cell>
          <cell r="Q181" t="str">
            <v>KAB. JEMBER</v>
          </cell>
          <cell r="R181" t="str">
            <v>SDS</v>
          </cell>
        </row>
        <row r="182">
          <cell r="D182" t="str">
            <v>F6XX</v>
          </cell>
          <cell r="E182" t="str">
            <v/>
          </cell>
          <cell r="F182" t="str">
            <v>RAYA KALIMANTAN</v>
          </cell>
          <cell r="G182" t="str">
            <v>F</v>
          </cell>
          <cell r="H182">
            <v>44831</v>
          </cell>
          <cell r="I182" t="str">
            <v xml:space="preserve">STANDARD </v>
          </cell>
          <cell r="J182">
            <v>1997000607</v>
          </cell>
          <cell r="K182" t="str">
            <v>ERVAN SOEBENY</v>
          </cell>
          <cell r="L182" t="str">
            <v>ESY</v>
          </cell>
          <cell r="M182">
            <v>2012075323</v>
          </cell>
          <cell r="N182" t="str">
            <v>MOCHAMAD RIZAL</v>
          </cell>
          <cell r="O182" t="str">
            <v>MRZ</v>
          </cell>
          <cell r="P182" t="str">
            <v>idF6XX@jbr.indomaret.co.id</v>
          </cell>
          <cell r="Q182" t="str">
            <v>KAB. JEMBER</v>
          </cell>
          <cell r="R182" t="str">
            <v>SDS</v>
          </cell>
        </row>
        <row r="183">
          <cell r="D183" t="str">
            <v>FC71</v>
          </cell>
          <cell r="E183" t="str">
            <v/>
          </cell>
          <cell r="F183" t="str">
            <v>SUMATERA  - JEMBER</v>
          </cell>
          <cell r="G183" t="str">
            <v>F</v>
          </cell>
          <cell r="H183">
            <v>45427</v>
          </cell>
          <cell r="I183" t="str">
            <v xml:space="preserve">STANDARD </v>
          </cell>
          <cell r="J183">
            <v>1997000607</v>
          </cell>
          <cell r="K183" t="str">
            <v>ERVAN SOEBENY</v>
          </cell>
          <cell r="L183" t="str">
            <v>ESY</v>
          </cell>
          <cell r="M183">
            <v>2012075323</v>
          </cell>
          <cell r="N183" t="str">
            <v>MOCHAMAD RIZAL</v>
          </cell>
          <cell r="O183" t="str">
            <v>MRZ</v>
          </cell>
          <cell r="P183" t="str">
            <v>idFC71@jbr.indomaret.co.id</v>
          </cell>
          <cell r="Q183" t="str">
            <v>KAB. JEMBER</v>
          </cell>
          <cell r="R183" t="str">
            <v>SDS</v>
          </cell>
        </row>
        <row r="184">
          <cell r="D184" t="str">
            <v>FDYI</v>
          </cell>
          <cell r="E184" t="str">
            <v/>
          </cell>
          <cell r="F184" t="str">
            <v>RAYA SUMATRA</v>
          </cell>
          <cell r="G184" t="str">
            <v>F</v>
          </cell>
          <cell r="H184">
            <v>44879</v>
          </cell>
          <cell r="I184" t="str">
            <v xml:space="preserve">STANDARD </v>
          </cell>
          <cell r="J184">
            <v>1997000607</v>
          </cell>
          <cell r="K184" t="str">
            <v>ERVAN SOEBENY</v>
          </cell>
          <cell r="L184" t="str">
            <v>ESY</v>
          </cell>
          <cell r="M184">
            <v>2012075323</v>
          </cell>
          <cell r="N184" t="str">
            <v>MOCHAMAD RIZAL</v>
          </cell>
          <cell r="O184" t="str">
            <v>MRZ</v>
          </cell>
          <cell r="P184" t="str">
            <v>idFDYI@jbr.indomaret.co.id</v>
          </cell>
          <cell r="Q184" t="str">
            <v>KAB. JEMBER</v>
          </cell>
          <cell r="R184" t="str">
            <v>SDS</v>
          </cell>
        </row>
        <row r="185">
          <cell r="D185" t="str">
            <v>FKII</v>
          </cell>
          <cell r="E185" t="str">
            <v>TT16</v>
          </cell>
          <cell r="F185" t="str">
            <v>MOH. YAMIN JBR</v>
          </cell>
          <cell r="G185" t="str">
            <v>F</v>
          </cell>
          <cell r="H185">
            <v>45413</v>
          </cell>
          <cell r="I185" t="str">
            <v xml:space="preserve">STANDARD </v>
          </cell>
          <cell r="J185">
            <v>1997000607</v>
          </cell>
          <cell r="K185" t="str">
            <v>ERVAN SOEBENY</v>
          </cell>
          <cell r="L185" t="str">
            <v>ESY</v>
          </cell>
          <cell r="M185">
            <v>2012075323</v>
          </cell>
          <cell r="N185" t="str">
            <v>MOCHAMAD RIZAL</v>
          </cell>
          <cell r="O185" t="str">
            <v>MRZ</v>
          </cell>
          <cell r="P185" t="str">
            <v>idFKII@jbr.indomaret.co.id</v>
          </cell>
          <cell r="Q185" t="str">
            <v>KAB. JEMBER</v>
          </cell>
          <cell r="R185" t="str">
            <v>SDS</v>
          </cell>
        </row>
        <row r="186">
          <cell r="D186" t="str">
            <v>FT37</v>
          </cell>
          <cell r="E186" t="str">
            <v/>
          </cell>
          <cell r="F186" t="str">
            <v>TEUKU UMAR JEMBER</v>
          </cell>
          <cell r="G186" t="str">
            <v>F</v>
          </cell>
          <cell r="H186">
            <v>44431</v>
          </cell>
          <cell r="I186" t="str">
            <v xml:space="preserve">STANDARD </v>
          </cell>
          <cell r="J186">
            <v>1997000607</v>
          </cell>
          <cell r="K186" t="str">
            <v>ERVAN SOEBENY</v>
          </cell>
          <cell r="L186" t="str">
            <v>ESY</v>
          </cell>
          <cell r="M186">
            <v>2012075323</v>
          </cell>
          <cell r="N186" t="str">
            <v>MOCHAMAD RIZAL</v>
          </cell>
          <cell r="O186" t="str">
            <v>MRZ</v>
          </cell>
          <cell r="P186" t="str">
            <v>idFT37@jbr.indomaret.co.id</v>
          </cell>
          <cell r="Q186" t="str">
            <v>KAB. JEMBER</v>
          </cell>
          <cell r="R186" t="str">
            <v>SDS</v>
          </cell>
        </row>
        <row r="187">
          <cell r="D187" t="str">
            <v>T656</v>
          </cell>
          <cell r="E187" t="str">
            <v/>
          </cell>
          <cell r="F187" t="str">
            <v>LETJEN SUPRAPTO - JEMBER</v>
          </cell>
          <cell r="G187" t="str">
            <v>R</v>
          </cell>
          <cell r="H187">
            <v>38265</v>
          </cell>
          <cell r="I187" t="str">
            <v>STANDARD NEW</v>
          </cell>
          <cell r="J187">
            <v>1997000607</v>
          </cell>
          <cell r="K187" t="str">
            <v>ERVAN SOEBENY</v>
          </cell>
          <cell r="L187" t="str">
            <v>ESY</v>
          </cell>
          <cell r="M187">
            <v>2012075323</v>
          </cell>
          <cell r="N187" t="str">
            <v>MOCHAMAD RIZAL</v>
          </cell>
          <cell r="O187" t="str">
            <v>MRZ</v>
          </cell>
          <cell r="P187" t="str">
            <v>idmT656@jbr.indomaret.co.id</v>
          </cell>
          <cell r="Q187" t="str">
            <v>KAB. JEMBER</v>
          </cell>
          <cell r="R187" t="str">
            <v>SDN</v>
          </cell>
        </row>
        <row r="188">
          <cell r="D188" t="str">
            <v>TCOH</v>
          </cell>
          <cell r="E188" t="str">
            <v/>
          </cell>
          <cell r="F188" t="str">
            <v>MH.TAMRIN</v>
          </cell>
          <cell r="G188" t="str">
            <v>R</v>
          </cell>
          <cell r="H188">
            <v>42246</v>
          </cell>
          <cell r="I188" t="str">
            <v>STANDARD NEW</v>
          </cell>
          <cell r="J188">
            <v>1997000607</v>
          </cell>
          <cell r="K188" t="str">
            <v>ERVAN SOEBENY</v>
          </cell>
          <cell r="L188" t="str">
            <v>ESY</v>
          </cell>
          <cell r="M188">
            <v>2012075323</v>
          </cell>
          <cell r="N188" t="str">
            <v>MOCHAMAD RIZAL</v>
          </cell>
          <cell r="O188" t="str">
            <v>MRZ</v>
          </cell>
          <cell r="P188" t="str">
            <v>idmTCOH@jbr.indomaret.co.id</v>
          </cell>
          <cell r="Q188" t="str">
            <v>KAB. JEMBER</v>
          </cell>
          <cell r="R188" t="str">
            <v>SDN</v>
          </cell>
        </row>
        <row r="189">
          <cell r="D189" t="str">
            <v>TKEG</v>
          </cell>
          <cell r="E189" t="str">
            <v/>
          </cell>
          <cell r="F189" t="str">
            <v>GLADAK PAKEM - JEMBER</v>
          </cell>
          <cell r="G189" t="str">
            <v>R</v>
          </cell>
          <cell r="H189">
            <v>41452</v>
          </cell>
          <cell r="I189" t="str">
            <v>STANDARD NEW</v>
          </cell>
          <cell r="J189">
            <v>1997000607</v>
          </cell>
          <cell r="K189" t="str">
            <v>ERVAN SOEBENY</v>
          </cell>
          <cell r="L189" t="str">
            <v>ESY</v>
          </cell>
          <cell r="M189">
            <v>2012075323</v>
          </cell>
          <cell r="N189" t="str">
            <v>MOCHAMAD RIZAL</v>
          </cell>
          <cell r="O189" t="str">
            <v>MRZ</v>
          </cell>
          <cell r="P189" t="str">
            <v>idmTKEG@jbr.indomaret.co.id</v>
          </cell>
          <cell r="Q189" t="str">
            <v>KAB. JEMBER</v>
          </cell>
          <cell r="R189" t="str">
            <v>SDN</v>
          </cell>
        </row>
        <row r="190">
          <cell r="D190" t="str">
            <v>TQND</v>
          </cell>
          <cell r="E190" t="str">
            <v/>
          </cell>
          <cell r="F190" t="str">
            <v>GRAHA CITRA MAS</v>
          </cell>
          <cell r="G190" t="str">
            <v>R</v>
          </cell>
          <cell r="H190">
            <v>42369</v>
          </cell>
          <cell r="I190" t="str">
            <v xml:space="preserve">STANDARD </v>
          </cell>
          <cell r="J190">
            <v>1997000607</v>
          </cell>
          <cell r="K190" t="str">
            <v>ERVAN SOEBENY</v>
          </cell>
          <cell r="L190" t="str">
            <v>ESY</v>
          </cell>
          <cell r="M190">
            <v>2012075323</v>
          </cell>
          <cell r="N190" t="str">
            <v>MOCHAMAD RIZAL</v>
          </cell>
          <cell r="O190" t="str">
            <v>MRZ</v>
          </cell>
          <cell r="P190" t="str">
            <v>idmTQND@jbr.indomaret.co.id</v>
          </cell>
          <cell r="Q190" t="str">
            <v>KAB. JEMBER</v>
          </cell>
          <cell r="R190" t="str">
            <v>SDS</v>
          </cell>
        </row>
        <row r="191">
          <cell r="D191" t="str">
            <v>TXII</v>
          </cell>
          <cell r="E191" t="str">
            <v/>
          </cell>
          <cell r="F191" t="str">
            <v>RAYA PB. SUDIRMAN</v>
          </cell>
          <cell r="G191" t="str">
            <v>R</v>
          </cell>
          <cell r="H191">
            <v>41237</v>
          </cell>
          <cell r="I191" t="str">
            <v>STANDARD NEW</v>
          </cell>
          <cell r="J191">
            <v>1997000607</v>
          </cell>
          <cell r="K191" t="str">
            <v>ERVAN SOEBENY</v>
          </cell>
          <cell r="L191" t="str">
            <v>ESY</v>
          </cell>
          <cell r="M191">
            <v>2012075323</v>
          </cell>
          <cell r="N191" t="str">
            <v>MOCHAMAD RIZAL</v>
          </cell>
          <cell r="O191" t="str">
            <v>MRZ</v>
          </cell>
          <cell r="P191" t="str">
            <v>idmTXII@jbr.indomaret.co.id</v>
          </cell>
          <cell r="Q191" t="str">
            <v>KAB. JEMBER</v>
          </cell>
          <cell r="R191" t="str">
            <v>SDN</v>
          </cell>
        </row>
        <row r="192">
          <cell r="D192" t="str">
            <v>F462</v>
          </cell>
          <cell r="E192" t="str">
            <v/>
          </cell>
          <cell r="F192" t="str">
            <v>KALISAT JEMBER</v>
          </cell>
          <cell r="G192" t="str">
            <v>F</v>
          </cell>
          <cell r="H192">
            <v>45825</v>
          </cell>
          <cell r="I192" t="str">
            <v xml:space="preserve">STANDARD </v>
          </cell>
          <cell r="J192">
            <v>1997000607</v>
          </cell>
          <cell r="K192" t="str">
            <v>ERVAN SOEBENY</v>
          </cell>
          <cell r="L192" t="str">
            <v>ESY</v>
          </cell>
          <cell r="M192">
            <v>2005008244</v>
          </cell>
          <cell r="N192" t="str">
            <v>RINA SUKMANINGATI THOMAS</v>
          </cell>
          <cell r="O192" t="str">
            <v>RAS</v>
          </cell>
          <cell r="P192" t="str">
            <v>idF462@jbr.indomaret.co.id</v>
          </cell>
          <cell r="Q192" t="str">
            <v>KAB. JEMBER</v>
          </cell>
          <cell r="R192" t="str">
            <v>SDS</v>
          </cell>
        </row>
        <row r="193">
          <cell r="D193" t="str">
            <v>FPUG</v>
          </cell>
          <cell r="E193" t="str">
            <v>TVEH</v>
          </cell>
          <cell r="F193" t="str">
            <v>DANAU TOBA  JEMBER</v>
          </cell>
          <cell r="G193" t="str">
            <v>F</v>
          </cell>
          <cell r="H193">
            <v>44378</v>
          </cell>
          <cell r="I193" t="str">
            <v xml:space="preserve">STANDARD </v>
          </cell>
          <cell r="J193">
            <v>1997000607</v>
          </cell>
          <cell r="K193" t="str">
            <v>ERVAN SOEBENY</v>
          </cell>
          <cell r="L193" t="str">
            <v>ESY</v>
          </cell>
          <cell r="M193">
            <v>2005008244</v>
          </cell>
          <cell r="N193" t="str">
            <v>RINA SUKMANINGATI THOMAS</v>
          </cell>
          <cell r="O193" t="str">
            <v>RAS</v>
          </cell>
          <cell r="P193" t="str">
            <v>idFPUG@jbr.indomaret.co.id</v>
          </cell>
          <cell r="Q193" t="str">
            <v>KAB. JEMBER</v>
          </cell>
          <cell r="R193" t="str">
            <v>SDS</v>
          </cell>
        </row>
        <row r="194">
          <cell r="D194" t="str">
            <v>FYEK</v>
          </cell>
          <cell r="E194" t="str">
            <v>FDRR</v>
          </cell>
          <cell r="F194" t="str">
            <v>SRIWIJAYA - JEMBER</v>
          </cell>
          <cell r="G194" t="str">
            <v>F</v>
          </cell>
          <cell r="H194">
            <v>44958</v>
          </cell>
          <cell r="I194" t="str">
            <v xml:space="preserve">STANDARD </v>
          </cell>
          <cell r="J194">
            <v>1997000607</v>
          </cell>
          <cell r="K194" t="str">
            <v>ERVAN SOEBENY</v>
          </cell>
          <cell r="L194" t="str">
            <v>ESY</v>
          </cell>
          <cell r="M194">
            <v>2005008244</v>
          </cell>
          <cell r="N194" t="str">
            <v>RINA SUKMANINGATI THOMAS</v>
          </cell>
          <cell r="O194" t="str">
            <v>RAS</v>
          </cell>
          <cell r="P194" t="str">
            <v>idFYEK@jbr.indomaret.co.id</v>
          </cell>
          <cell r="Q194" t="str">
            <v>KAB. JEMBER</v>
          </cell>
          <cell r="R194" t="str">
            <v>SDS</v>
          </cell>
        </row>
        <row r="195">
          <cell r="D195" t="str">
            <v>TA00</v>
          </cell>
          <cell r="E195" t="str">
            <v/>
          </cell>
          <cell r="F195" t="str">
            <v>BARATAN</v>
          </cell>
          <cell r="G195" t="str">
            <v>R</v>
          </cell>
          <cell r="H195">
            <v>39629</v>
          </cell>
          <cell r="I195" t="str">
            <v xml:space="preserve">STANDARD </v>
          </cell>
          <cell r="J195">
            <v>1997000607</v>
          </cell>
          <cell r="K195" t="str">
            <v>ERVAN SOEBENY</v>
          </cell>
          <cell r="L195" t="str">
            <v>ESY</v>
          </cell>
          <cell r="M195">
            <v>2005008244</v>
          </cell>
          <cell r="N195" t="str">
            <v>RINA SUKMANINGATI THOMAS</v>
          </cell>
          <cell r="O195" t="str">
            <v>RAS</v>
          </cell>
          <cell r="P195" t="str">
            <v>idmTA00@jbr.indomaret.co.id</v>
          </cell>
          <cell r="Q195" t="str">
            <v>KAB. JEMBER</v>
          </cell>
          <cell r="R195" t="str">
            <v>SDS</v>
          </cell>
        </row>
        <row r="196">
          <cell r="D196" t="str">
            <v>TAJG</v>
          </cell>
          <cell r="E196" t="str">
            <v/>
          </cell>
          <cell r="F196" t="str">
            <v>PANDORA MASTRIP</v>
          </cell>
          <cell r="G196" t="str">
            <v>R</v>
          </cell>
          <cell r="H196">
            <v>42369</v>
          </cell>
          <cell r="I196" t="str">
            <v>STANDARD NEW</v>
          </cell>
          <cell r="J196">
            <v>1997000607</v>
          </cell>
          <cell r="K196" t="str">
            <v>ERVAN SOEBENY</v>
          </cell>
          <cell r="L196" t="str">
            <v>ESY</v>
          </cell>
          <cell r="M196">
            <v>2005008244</v>
          </cell>
          <cell r="N196" t="str">
            <v>RINA SUKMANINGATI THOMAS</v>
          </cell>
          <cell r="O196" t="str">
            <v>RAS</v>
          </cell>
          <cell r="P196" t="str">
            <v>idmTAJG@jbr.indomaret.co.id</v>
          </cell>
          <cell r="Q196" t="str">
            <v>KAB. JEMBER</v>
          </cell>
          <cell r="R196" t="str">
            <v>SDN</v>
          </cell>
        </row>
        <row r="197">
          <cell r="D197" t="str">
            <v>THXB</v>
          </cell>
          <cell r="E197" t="str">
            <v/>
          </cell>
          <cell r="F197" t="str">
            <v>AJUNG KALISAT - JBR</v>
          </cell>
          <cell r="G197" t="str">
            <v>R</v>
          </cell>
          <cell r="H197">
            <v>40877</v>
          </cell>
          <cell r="I197" t="str">
            <v xml:space="preserve">STANDARD </v>
          </cell>
          <cell r="J197">
            <v>1997000607</v>
          </cell>
          <cell r="K197" t="str">
            <v>ERVAN SOEBENY</v>
          </cell>
          <cell r="L197" t="str">
            <v>ESY</v>
          </cell>
          <cell r="M197">
            <v>2005008244</v>
          </cell>
          <cell r="N197" t="str">
            <v>RINA SUKMANINGATI THOMAS</v>
          </cell>
          <cell r="O197" t="str">
            <v>RAS</v>
          </cell>
          <cell r="P197" t="str">
            <v>idmTHXB@jbr.indomaret.co.id</v>
          </cell>
          <cell r="Q197" t="str">
            <v>KAB. JEMBER</v>
          </cell>
          <cell r="R197" t="str">
            <v>SDS</v>
          </cell>
        </row>
        <row r="198">
          <cell r="D198" t="str">
            <v>TK9V</v>
          </cell>
          <cell r="E198" t="str">
            <v/>
          </cell>
          <cell r="F198" t="str">
            <v>KALIURANG-JEMBER</v>
          </cell>
          <cell r="G198" t="str">
            <v>R</v>
          </cell>
          <cell r="H198">
            <v>41621</v>
          </cell>
          <cell r="I198" t="str">
            <v xml:space="preserve">STANDARD </v>
          </cell>
          <cell r="J198">
            <v>1997000607</v>
          </cell>
          <cell r="K198" t="str">
            <v>ERVAN SOEBENY</v>
          </cell>
          <cell r="L198" t="str">
            <v>ESY</v>
          </cell>
          <cell r="M198">
            <v>2005008244</v>
          </cell>
          <cell r="N198" t="str">
            <v>RINA SUKMANINGATI THOMAS</v>
          </cell>
          <cell r="O198" t="str">
            <v>RAS</v>
          </cell>
          <cell r="P198" t="str">
            <v>idmTK9V@jbr.indomaret.co.id</v>
          </cell>
          <cell r="Q198" t="str">
            <v>KAB. JEMBER</v>
          </cell>
          <cell r="R198" t="str">
            <v>SDS</v>
          </cell>
        </row>
        <row r="199">
          <cell r="D199" t="str">
            <v>TROJ</v>
          </cell>
          <cell r="E199" t="str">
            <v/>
          </cell>
          <cell r="F199" t="str">
            <v>LANGSEP</v>
          </cell>
          <cell r="G199" t="str">
            <v>R</v>
          </cell>
          <cell r="H199">
            <v>42003</v>
          </cell>
          <cell r="I199" t="str">
            <v>STANDARD NEW</v>
          </cell>
          <cell r="J199">
            <v>1997000607</v>
          </cell>
          <cell r="K199" t="str">
            <v>ERVAN SOEBENY</v>
          </cell>
          <cell r="L199" t="str">
            <v>ESY</v>
          </cell>
          <cell r="M199">
            <v>2005008244</v>
          </cell>
          <cell r="N199" t="str">
            <v>RINA SUKMANINGATI THOMAS</v>
          </cell>
          <cell r="O199" t="str">
            <v>RAS</v>
          </cell>
          <cell r="P199" t="str">
            <v>idmTROJ@jbr.indomaret.co.id</v>
          </cell>
          <cell r="Q199" t="str">
            <v>KAB. JEMBER</v>
          </cell>
          <cell r="R199" t="str">
            <v>SDN</v>
          </cell>
        </row>
        <row r="200">
          <cell r="D200" t="str">
            <v>TSRH</v>
          </cell>
          <cell r="E200" t="str">
            <v>FJJ3</v>
          </cell>
          <cell r="F200" t="str">
            <v>ARJASA - JEMBER</v>
          </cell>
          <cell r="G200" t="str">
            <v>R</v>
          </cell>
          <cell r="H200">
            <v>41426</v>
          </cell>
          <cell r="I200" t="str">
            <v>STANDARD NEW</v>
          </cell>
          <cell r="J200">
            <v>1997000607</v>
          </cell>
          <cell r="K200" t="str">
            <v>ERVAN SOEBENY</v>
          </cell>
          <cell r="L200" t="str">
            <v>ESY</v>
          </cell>
          <cell r="M200">
            <v>2005008244</v>
          </cell>
          <cell r="N200" t="str">
            <v>RINA SUKMANINGATI THOMAS</v>
          </cell>
          <cell r="O200" t="str">
            <v>RAS</v>
          </cell>
          <cell r="P200" t="str">
            <v>idmTSRH@jbr.indomaret.co.id</v>
          </cell>
          <cell r="Q200" t="str">
            <v>KAB. JEMBER</v>
          </cell>
          <cell r="R200" t="str">
            <v>SDN</v>
          </cell>
        </row>
        <row r="201">
          <cell r="D201" t="str">
            <v>TUAL</v>
          </cell>
          <cell r="E201" t="str">
            <v>F98F</v>
          </cell>
          <cell r="F201" t="str">
            <v>PATRANG</v>
          </cell>
          <cell r="G201" t="str">
            <v>R</v>
          </cell>
          <cell r="H201">
            <v>41426</v>
          </cell>
          <cell r="I201" t="str">
            <v xml:space="preserve">STANDARD </v>
          </cell>
          <cell r="J201">
            <v>1997000607</v>
          </cell>
          <cell r="K201" t="str">
            <v>ERVAN SOEBENY</v>
          </cell>
          <cell r="L201" t="str">
            <v>ESY</v>
          </cell>
          <cell r="M201">
            <v>2005008244</v>
          </cell>
          <cell r="N201" t="str">
            <v>RINA SUKMANINGATI THOMAS</v>
          </cell>
          <cell r="O201" t="str">
            <v>RAS</v>
          </cell>
          <cell r="P201" t="str">
            <v>idmTUAL@jbr.indomaret.co.id</v>
          </cell>
          <cell r="Q201" t="str">
            <v>KAB. JEMBER</v>
          </cell>
          <cell r="R201" t="str">
            <v>SDS</v>
          </cell>
        </row>
        <row r="202">
          <cell r="D202" t="str">
            <v>TUFJ</v>
          </cell>
          <cell r="E202" t="str">
            <v>FAMO</v>
          </cell>
          <cell r="F202" t="str">
            <v>ARJASA 2 - JEMBER</v>
          </cell>
          <cell r="G202" t="str">
            <v>R</v>
          </cell>
          <cell r="H202">
            <v>42856</v>
          </cell>
          <cell r="I202" t="str">
            <v xml:space="preserve">STANDARD </v>
          </cell>
          <cell r="J202">
            <v>1997000607</v>
          </cell>
          <cell r="K202" t="str">
            <v>ERVAN SOEBENY</v>
          </cell>
          <cell r="L202" t="str">
            <v>ESY</v>
          </cell>
          <cell r="M202">
            <v>2005008244</v>
          </cell>
          <cell r="N202" t="str">
            <v>RINA SUKMANINGATI THOMAS</v>
          </cell>
          <cell r="O202" t="str">
            <v>RAS</v>
          </cell>
          <cell r="P202" t="str">
            <v>idmTUFJ@jbr.indomaret.co.id</v>
          </cell>
          <cell r="Q202" t="str">
            <v>KAB. JEMBER</v>
          </cell>
          <cell r="R202" t="str">
            <v>SDS</v>
          </cell>
        </row>
        <row r="203">
          <cell r="D203" t="str">
            <v>F2PH</v>
          </cell>
          <cell r="E203" t="str">
            <v/>
          </cell>
          <cell r="F203" t="str">
            <v>LEMBENGAN</v>
          </cell>
          <cell r="G203" t="str">
            <v>F</v>
          </cell>
          <cell r="H203">
            <v>45854</v>
          </cell>
          <cell r="I203" t="str">
            <v xml:space="preserve">STANDARD </v>
          </cell>
          <cell r="J203">
            <v>1997000607</v>
          </cell>
          <cell r="K203" t="str">
            <v>ERVAN SOEBENY</v>
          </cell>
          <cell r="L203" t="str">
            <v>ESY</v>
          </cell>
          <cell r="M203">
            <v>2002007364</v>
          </cell>
          <cell r="N203" t="str">
            <v>SUHERMANTO</v>
          </cell>
          <cell r="O203" t="str">
            <v>SHA</v>
          </cell>
          <cell r="P203" t="str">
            <v>idF2PH@jbr.indomaret.co.id</v>
          </cell>
          <cell r="Q203" t="str">
            <v>KAB. JEMBER</v>
          </cell>
          <cell r="R203" t="str">
            <v>SDS</v>
          </cell>
        </row>
        <row r="204">
          <cell r="D204" t="str">
            <v>FKOR</v>
          </cell>
          <cell r="E204" t="str">
            <v>TULN</v>
          </cell>
          <cell r="F204" t="str">
            <v>GARAHAN</v>
          </cell>
          <cell r="G204" t="str">
            <v>F</v>
          </cell>
          <cell r="H204">
            <v>45231</v>
          </cell>
          <cell r="I204" t="str">
            <v xml:space="preserve">STANDARD </v>
          </cell>
          <cell r="J204">
            <v>1997000607</v>
          </cell>
          <cell r="K204" t="str">
            <v>ERVAN SOEBENY</v>
          </cell>
          <cell r="L204" t="str">
            <v>ESY</v>
          </cell>
          <cell r="M204">
            <v>2002007364</v>
          </cell>
          <cell r="N204" t="str">
            <v>SUHERMANTO</v>
          </cell>
          <cell r="O204" t="str">
            <v>SHA</v>
          </cell>
          <cell r="P204" t="str">
            <v>idFKOR@jbr.indomaret.co.id</v>
          </cell>
          <cell r="Q204" t="str">
            <v>KAB. JEMBER</v>
          </cell>
          <cell r="R204" t="str">
            <v>SDS</v>
          </cell>
        </row>
        <row r="205">
          <cell r="D205" t="str">
            <v>FPOO</v>
          </cell>
          <cell r="E205" t="str">
            <v/>
          </cell>
          <cell r="F205" t="str">
            <v>RAYA SUMBERJATI - JEMBER</v>
          </cell>
          <cell r="G205" t="str">
            <v>F</v>
          </cell>
          <cell r="H205">
            <v>44983</v>
          </cell>
          <cell r="I205" t="str">
            <v xml:space="preserve">STANDARD </v>
          </cell>
          <cell r="J205">
            <v>1997000607</v>
          </cell>
          <cell r="K205" t="str">
            <v>ERVAN SOEBENY</v>
          </cell>
          <cell r="L205" t="str">
            <v>ESY</v>
          </cell>
          <cell r="M205">
            <v>2002007364</v>
          </cell>
          <cell r="N205" t="str">
            <v>SUHERMANTO</v>
          </cell>
          <cell r="O205" t="str">
            <v>SHA</v>
          </cell>
          <cell r="P205" t="str">
            <v>idFPOO@jbr.indomaret.co.id</v>
          </cell>
          <cell r="Q205" t="str">
            <v>KAB. JEMBER</v>
          </cell>
          <cell r="R205" t="str">
            <v>SDS</v>
          </cell>
        </row>
        <row r="206">
          <cell r="D206" t="str">
            <v>FQUU</v>
          </cell>
          <cell r="E206" t="str">
            <v>TOYS</v>
          </cell>
          <cell r="F206" t="str">
            <v>LEDOKOMBO JEMBER</v>
          </cell>
          <cell r="G206" t="str">
            <v>F</v>
          </cell>
          <cell r="H206">
            <v>44287</v>
          </cell>
          <cell r="I206" t="str">
            <v xml:space="preserve">STANDARD </v>
          </cell>
          <cell r="J206">
            <v>1997000607</v>
          </cell>
          <cell r="K206" t="str">
            <v>ERVAN SOEBENY</v>
          </cell>
          <cell r="L206" t="str">
            <v>ESY</v>
          </cell>
          <cell r="M206">
            <v>2002007364</v>
          </cell>
          <cell r="N206" t="str">
            <v>SUHERMANTO</v>
          </cell>
          <cell r="O206" t="str">
            <v>SHA</v>
          </cell>
          <cell r="P206" t="str">
            <v>idFQUU@jbr.indomaret.co.id</v>
          </cell>
          <cell r="Q206" t="str">
            <v>KAB. JEMBER</v>
          </cell>
          <cell r="R206" t="str">
            <v>SDS</v>
          </cell>
        </row>
        <row r="207">
          <cell r="D207" t="str">
            <v>T10A</v>
          </cell>
          <cell r="E207" t="str">
            <v/>
          </cell>
          <cell r="F207" t="str">
            <v>KALISAT 2 - JEMBER</v>
          </cell>
          <cell r="G207" t="str">
            <v>R</v>
          </cell>
          <cell r="H207">
            <v>39725</v>
          </cell>
          <cell r="I207" t="str">
            <v>STANDARD NEW</v>
          </cell>
          <cell r="J207">
            <v>1997000607</v>
          </cell>
          <cell r="K207" t="str">
            <v>ERVAN SOEBENY</v>
          </cell>
          <cell r="L207" t="str">
            <v>ESY</v>
          </cell>
          <cell r="M207">
            <v>2002007364</v>
          </cell>
          <cell r="N207" t="str">
            <v>SUHERMANTO</v>
          </cell>
          <cell r="O207" t="str">
            <v>SHA</v>
          </cell>
          <cell r="P207" t="str">
            <v>idmT10A@jbr.indomaret.co.id</v>
          </cell>
          <cell r="Q207" t="str">
            <v>KAB. JEMBER</v>
          </cell>
          <cell r="R207" t="str">
            <v>SDN</v>
          </cell>
        </row>
        <row r="208">
          <cell r="D208" t="str">
            <v>T85J</v>
          </cell>
          <cell r="E208" t="str">
            <v/>
          </cell>
          <cell r="F208" t="str">
            <v>PAHLAWAN MAYANG JEMBER</v>
          </cell>
          <cell r="G208" t="str">
            <v>R</v>
          </cell>
          <cell r="H208">
            <v>40662</v>
          </cell>
          <cell r="I208" t="str">
            <v xml:space="preserve">STANDARD </v>
          </cell>
          <cell r="J208">
            <v>1997000607</v>
          </cell>
          <cell r="K208" t="str">
            <v>ERVAN SOEBENY</v>
          </cell>
          <cell r="L208" t="str">
            <v>ESY</v>
          </cell>
          <cell r="M208">
            <v>2002007364</v>
          </cell>
          <cell r="N208" t="str">
            <v>SUHERMANTO</v>
          </cell>
          <cell r="O208" t="str">
            <v>SHA</v>
          </cell>
          <cell r="P208" t="str">
            <v>idmT85J@jbr.indomaret.co.id</v>
          </cell>
          <cell r="Q208" t="str">
            <v>KAB. JEMBER</v>
          </cell>
          <cell r="R208" t="str">
            <v>SDS</v>
          </cell>
        </row>
        <row r="209">
          <cell r="D209" t="str">
            <v>T8FM</v>
          </cell>
          <cell r="E209" t="str">
            <v/>
          </cell>
          <cell r="F209" t="str">
            <v>TEMPUREJO 2 JEMBER</v>
          </cell>
          <cell r="G209" t="str">
            <v>R</v>
          </cell>
          <cell r="H209">
            <v>41637</v>
          </cell>
          <cell r="I209" t="str">
            <v xml:space="preserve">STANDARD </v>
          </cell>
          <cell r="J209">
            <v>1997000607</v>
          </cell>
          <cell r="K209" t="str">
            <v>ERVAN SOEBENY</v>
          </cell>
          <cell r="L209" t="str">
            <v>ESY</v>
          </cell>
          <cell r="M209">
            <v>2002007364</v>
          </cell>
          <cell r="N209" t="str">
            <v>SUHERMANTO</v>
          </cell>
          <cell r="O209" t="str">
            <v>SHA</v>
          </cell>
          <cell r="P209" t="str">
            <v>idmT8FM@jbr.indomaret.co.id</v>
          </cell>
          <cell r="Q209" t="str">
            <v>KAB. JEMBER</v>
          </cell>
          <cell r="R209" t="str">
            <v>SDS</v>
          </cell>
        </row>
        <row r="210">
          <cell r="D210" t="str">
            <v>TA56</v>
          </cell>
          <cell r="E210" t="str">
            <v/>
          </cell>
          <cell r="F210" t="str">
            <v>TEMPUREJO</v>
          </cell>
          <cell r="G210" t="str">
            <v>R</v>
          </cell>
          <cell r="H210">
            <v>39262</v>
          </cell>
          <cell r="I210" t="str">
            <v xml:space="preserve">STANDARD </v>
          </cell>
          <cell r="J210">
            <v>1997000607</v>
          </cell>
          <cell r="K210" t="str">
            <v>ERVAN SOEBENY</v>
          </cell>
          <cell r="L210" t="str">
            <v>ESY</v>
          </cell>
          <cell r="M210">
            <v>2002007364</v>
          </cell>
          <cell r="N210" t="str">
            <v>SUHERMANTO</v>
          </cell>
          <cell r="O210" t="str">
            <v>SHA</v>
          </cell>
          <cell r="P210" t="str">
            <v>idmTA56@jbr.indomaret.co.id</v>
          </cell>
          <cell r="Q210" t="str">
            <v>KAB. JEMBER</v>
          </cell>
          <cell r="R210" t="str">
            <v>SDS</v>
          </cell>
        </row>
        <row r="211">
          <cell r="D211" t="str">
            <v>TBGE</v>
          </cell>
          <cell r="E211" t="str">
            <v/>
          </cell>
          <cell r="F211" t="str">
            <v>MUMBULSARI</v>
          </cell>
          <cell r="G211" t="str">
            <v>R</v>
          </cell>
          <cell r="H211">
            <v>42123</v>
          </cell>
          <cell r="I211" t="str">
            <v xml:space="preserve">STANDARD </v>
          </cell>
          <cell r="J211">
            <v>1997000607</v>
          </cell>
          <cell r="K211" t="str">
            <v>ERVAN SOEBENY</v>
          </cell>
          <cell r="L211" t="str">
            <v>ESY</v>
          </cell>
          <cell r="M211">
            <v>2002007364</v>
          </cell>
          <cell r="N211" t="str">
            <v>SUHERMANTO</v>
          </cell>
          <cell r="O211" t="str">
            <v>SHA</v>
          </cell>
          <cell r="P211" t="str">
            <v>idmTBGE@jbr.indomaret.co.id</v>
          </cell>
          <cell r="Q211" t="str">
            <v>KAB. JEMBER</v>
          </cell>
          <cell r="R211" t="str">
            <v>SDS</v>
          </cell>
        </row>
        <row r="212">
          <cell r="D212" t="str">
            <v>TGUH</v>
          </cell>
          <cell r="E212" t="str">
            <v>F79A</v>
          </cell>
          <cell r="F212" t="str">
            <v>SEMPOLAN</v>
          </cell>
          <cell r="G212" t="str">
            <v>R</v>
          </cell>
          <cell r="H212">
            <v>39753</v>
          </cell>
          <cell r="I212" t="str">
            <v xml:space="preserve">STANDARD </v>
          </cell>
          <cell r="J212">
            <v>1997000607</v>
          </cell>
          <cell r="K212" t="str">
            <v>ERVAN SOEBENY</v>
          </cell>
          <cell r="L212" t="str">
            <v>ESY</v>
          </cell>
          <cell r="M212">
            <v>2002007364</v>
          </cell>
          <cell r="N212" t="str">
            <v>SUHERMANTO</v>
          </cell>
          <cell r="O212" t="str">
            <v>SHA</v>
          </cell>
          <cell r="P212" t="str">
            <v>idmTGUH@jbr.indomaret.co.id</v>
          </cell>
          <cell r="Q212" t="str">
            <v>KAB. JEMBER</v>
          </cell>
          <cell r="R212" t="str">
            <v>SDS</v>
          </cell>
        </row>
        <row r="213">
          <cell r="D213" t="str">
            <v>TNLI</v>
          </cell>
          <cell r="E213" t="str">
            <v/>
          </cell>
          <cell r="F213" t="str">
            <v>MAYANG TEGALREJO</v>
          </cell>
          <cell r="G213" t="str">
            <v>R</v>
          </cell>
          <cell r="H213">
            <v>44723</v>
          </cell>
          <cell r="I213" t="str">
            <v>STANDARD NEW</v>
          </cell>
          <cell r="J213">
            <v>1997000607</v>
          </cell>
          <cell r="K213" t="str">
            <v>ERVAN SOEBENY</v>
          </cell>
          <cell r="L213" t="str">
            <v>ESY</v>
          </cell>
          <cell r="M213">
            <v>2002007364</v>
          </cell>
          <cell r="N213" t="str">
            <v>SUHERMANTO</v>
          </cell>
          <cell r="O213" t="str">
            <v>SHA</v>
          </cell>
          <cell r="P213" t="str">
            <v>idmTNLI@jbr.indomaret.co.id</v>
          </cell>
          <cell r="Q213" t="str">
            <v>KAB. JEMBER</v>
          </cell>
          <cell r="R213" t="str">
            <v>SDN</v>
          </cell>
        </row>
        <row r="214">
          <cell r="D214" t="str">
            <v>FD6X</v>
          </cell>
          <cell r="E214" t="str">
            <v/>
          </cell>
          <cell r="F214" t="str">
            <v>JANGKAR</v>
          </cell>
          <cell r="G214" t="str">
            <v>F</v>
          </cell>
          <cell r="H214">
            <v>44708</v>
          </cell>
          <cell r="I214" t="str">
            <v xml:space="preserve">STANDARD </v>
          </cell>
          <cell r="J214">
            <v>2005008004</v>
          </cell>
          <cell r="K214" t="str">
            <v>JOKO DWI PRASETYO</v>
          </cell>
          <cell r="L214" t="str">
            <v>JDP</v>
          </cell>
          <cell r="M214">
            <v>2010004252</v>
          </cell>
          <cell r="N214" t="str">
            <v>AGUS SURYO PRASETYO</v>
          </cell>
          <cell r="O214" t="str">
            <v>ASP</v>
          </cell>
          <cell r="P214" t="str">
            <v>idFD6X@jbr.indomaret.co.id</v>
          </cell>
          <cell r="Q214" t="str">
            <v>KAB. SITUBONDO</v>
          </cell>
          <cell r="R214" t="str">
            <v>SDS</v>
          </cell>
        </row>
        <row r="215">
          <cell r="D215" t="str">
            <v>FEXJ</v>
          </cell>
          <cell r="E215" t="str">
            <v>TQ27</v>
          </cell>
          <cell r="F215" t="str">
            <v>BANONGAN - STO</v>
          </cell>
          <cell r="G215" t="str">
            <v>F</v>
          </cell>
          <cell r="H215">
            <v>45078</v>
          </cell>
          <cell r="I215" t="str">
            <v xml:space="preserve">STANDARD </v>
          </cell>
          <cell r="J215">
            <v>2005008004</v>
          </cell>
          <cell r="K215" t="str">
            <v>JOKO DWI PRASETYO</v>
          </cell>
          <cell r="L215" t="str">
            <v>JDP</v>
          </cell>
          <cell r="M215">
            <v>2010004252</v>
          </cell>
          <cell r="N215" t="str">
            <v>AGUS SURYO PRASETYO</v>
          </cell>
          <cell r="O215" t="str">
            <v>ASP</v>
          </cell>
          <cell r="P215" t="str">
            <v>idFEXJ@jbr.indomaret.co.id</v>
          </cell>
          <cell r="Q215" t="str">
            <v>KAB. SITUBONDO</v>
          </cell>
          <cell r="R215" t="str">
            <v>SDS</v>
          </cell>
        </row>
        <row r="216">
          <cell r="D216" t="str">
            <v>FJIM</v>
          </cell>
          <cell r="E216" t="str">
            <v>TF27</v>
          </cell>
          <cell r="F216" t="str">
            <v>ASEM BAGUS II</v>
          </cell>
          <cell r="G216" t="str">
            <v>F</v>
          </cell>
          <cell r="H216">
            <v>45566</v>
          </cell>
          <cell r="I216" t="str">
            <v xml:space="preserve">STANDARD </v>
          </cell>
          <cell r="J216">
            <v>2005008004</v>
          </cell>
          <cell r="K216" t="str">
            <v>JOKO DWI PRASETYO</v>
          </cell>
          <cell r="L216" t="str">
            <v>JDP</v>
          </cell>
          <cell r="M216">
            <v>2010004252</v>
          </cell>
          <cell r="N216" t="str">
            <v>AGUS SURYO PRASETYO</v>
          </cell>
          <cell r="O216" t="str">
            <v>ASP</v>
          </cell>
          <cell r="P216" t="str">
            <v>idFJIM@jbr.indomaret.co.id</v>
          </cell>
          <cell r="Q216" t="str">
            <v>KAB. SITUBONDO</v>
          </cell>
          <cell r="R216" t="str">
            <v>SDS</v>
          </cell>
        </row>
        <row r="217">
          <cell r="D217" t="str">
            <v>FUAH</v>
          </cell>
          <cell r="E217" t="str">
            <v>TUNN</v>
          </cell>
          <cell r="F217" t="str">
            <v>SUMBEREJO STO</v>
          </cell>
          <cell r="G217" t="str">
            <v>F</v>
          </cell>
          <cell r="H217">
            <v>44166</v>
          </cell>
          <cell r="I217" t="str">
            <v xml:space="preserve">STANDARD </v>
          </cell>
          <cell r="J217">
            <v>2005008004</v>
          </cell>
          <cell r="K217" t="str">
            <v>JOKO DWI PRASETYO</v>
          </cell>
          <cell r="L217" t="str">
            <v>JDP</v>
          </cell>
          <cell r="M217">
            <v>2010004252</v>
          </cell>
          <cell r="N217" t="str">
            <v>AGUS SURYO PRASETYO</v>
          </cell>
          <cell r="O217" t="str">
            <v>ASP</v>
          </cell>
          <cell r="P217" t="str">
            <v>idFUAH@jbr.indomaret.co.id</v>
          </cell>
          <cell r="Q217" t="str">
            <v>KAB. SITUBONDO</v>
          </cell>
          <cell r="R217" t="str">
            <v>SDS</v>
          </cell>
        </row>
        <row r="218">
          <cell r="D218" t="str">
            <v>FWGO</v>
          </cell>
          <cell r="E218" t="str">
            <v>TQ60</v>
          </cell>
          <cell r="F218" t="str">
            <v>SERUNI-ASEMBAGUS</v>
          </cell>
          <cell r="G218" t="str">
            <v>F</v>
          </cell>
          <cell r="H218">
            <v>44621</v>
          </cell>
          <cell r="I218" t="str">
            <v xml:space="preserve">STANDARD </v>
          </cell>
          <cell r="J218">
            <v>2005008004</v>
          </cell>
          <cell r="K218" t="str">
            <v>JOKO DWI PRASETYO</v>
          </cell>
          <cell r="L218" t="str">
            <v>JDP</v>
          </cell>
          <cell r="M218">
            <v>2010004252</v>
          </cell>
          <cell r="N218" t="str">
            <v>AGUS SURYO PRASETYO</v>
          </cell>
          <cell r="O218" t="str">
            <v>ASP</v>
          </cell>
          <cell r="P218" t="str">
            <v>idFWGO@jbr.indomaret.co.id</v>
          </cell>
          <cell r="Q218" t="str">
            <v>KAB. SITUBONDO</v>
          </cell>
          <cell r="R218" t="str">
            <v>SDS</v>
          </cell>
        </row>
        <row r="219">
          <cell r="D219" t="str">
            <v>T1J4</v>
          </cell>
          <cell r="E219" t="str">
            <v/>
          </cell>
          <cell r="F219" t="str">
            <v>TRIGONCO</v>
          </cell>
          <cell r="G219" t="str">
            <v>R</v>
          </cell>
          <cell r="H219">
            <v>44798</v>
          </cell>
          <cell r="I219" t="str">
            <v xml:space="preserve">STANDARD </v>
          </cell>
          <cell r="J219">
            <v>2005008004</v>
          </cell>
          <cell r="K219" t="str">
            <v>JOKO DWI PRASETYO</v>
          </cell>
          <cell r="L219" t="str">
            <v>JDP</v>
          </cell>
          <cell r="M219">
            <v>2010004252</v>
          </cell>
          <cell r="N219" t="str">
            <v>AGUS SURYO PRASETYO</v>
          </cell>
          <cell r="O219" t="str">
            <v>ASP</v>
          </cell>
          <cell r="P219" t="str">
            <v>idmT1J4@jbr.indomaret.co.id</v>
          </cell>
          <cell r="Q219" t="str">
            <v>KAB. SITUBONDO</v>
          </cell>
          <cell r="R219" t="str">
            <v>SDS</v>
          </cell>
        </row>
        <row r="220">
          <cell r="D220" t="str">
            <v>TCYH</v>
          </cell>
          <cell r="E220"/>
          <cell r="F220" t="str">
            <v>PONDOK MIMBO</v>
          </cell>
          <cell r="G220" t="str">
            <v>R</v>
          </cell>
          <cell r="H220">
            <v>46141</v>
          </cell>
          <cell r="I220" t="str">
            <v>STANDARD NEW</v>
          </cell>
          <cell r="J220">
            <v>2005008004</v>
          </cell>
          <cell r="K220" t="str">
            <v>JOKO DWI PRASETYO</v>
          </cell>
          <cell r="L220" t="str">
            <v>JDP</v>
          </cell>
          <cell r="M220">
            <v>2010004252</v>
          </cell>
          <cell r="N220" t="str">
            <v>AGUS SURYO PRASETYO</v>
          </cell>
          <cell r="O220" t="str">
            <v>ASP</v>
          </cell>
          <cell r="P220" t="str">
            <v>idmTCYH@jbr.indomaret.co.id</v>
          </cell>
          <cell r="Q220" t="str">
            <v>KAB. SITUBONDO</v>
          </cell>
          <cell r="R220" t="str">
            <v>SDN</v>
          </cell>
        </row>
        <row r="221">
          <cell r="D221" t="str">
            <v>TEOJ</v>
          </cell>
          <cell r="E221" t="str">
            <v>FKCO</v>
          </cell>
          <cell r="F221" t="str">
            <v>ASEMBAGUS 22 STO</v>
          </cell>
          <cell r="G221" t="str">
            <v>R</v>
          </cell>
          <cell r="H221">
            <v>44378</v>
          </cell>
          <cell r="I221" t="str">
            <v xml:space="preserve">STANDARD </v>
          </cell>
          <cell r="J221">
            <v>2005008004</v>
          </cell>
          <cell r="K221" t="str">
            <v>JOKO DWI PRASETYO</v>
          </cell>
          <cell r="L221" t="str">
            <v>JDP</v>
          </cell>
          <cell r="M221">
            <v>2010004252</v>
          </cell>
          <cell r="N221" t="str">
            <v>AGUS SURYO PRASETYO</v>
          </cell>
          <cell r="O221" t="str">
            <v>ASP</v>
          </cell>
          <cell r="P221" t="str">
            <v>idmTEOJ@jbr.indomaret.co.id</v>
          </cell>
          <cell r="Q221" t="str">
            <v>KAB. SITUBONDO</v>
          </cell>
          <cell r="R221" t="str">
            <v>SDS</v>
          </cell>
        </row>
        <row r="222">
          <cell r="D222" t="str">
            <v>TF02</v>
          </cell>
          <cell r="E222" t="str">
            <v/>
          </cell>
          <cell r="F222" t="str">
            <v>ASEM BAGUS</v>
          </cell>
          <cell r="G222" t="str">
            <v>R</v>
          </cell>
          <cell r="H222">
            <v>38520</v>
          </cell>
          <cell r="I222" t="str">
            <v xml:space="preserve">STANDARD </v>
          </cell>
          <cell r="J222">
            <v>2005008004</v>
          </cell>
          <cell r="K222" t="str">
            <v>JOKO DWI PRASETYO</v>
          </cell>
          <cell r="L222" t="str">
            <v>JDP</v>
          </cell>
          <cell r="M222">
            <v>2010004252</v>
          </cell>
          <cell r="N222" t="str">
            <v>AGUS SURYO PRASETYO</v>
          </cell>
          <cell r="O222" t="str">
            <v>ASP</v>
          </cell>
          <cell r="P222" t="str">
            <v>idmTF02@jbr.indomaret.co.id</v>
          </cell>
          <cell r="Q222" t="str">
            <v>KAB. SITUBONDO</v>
          </cell>
          <cell r="R222" t="str">
            <v>SDS</v>
          </cell>
        </row>
        <row r="223">
          <cell r="D223" t="str">
            <v>TKLJ</v>
          </cell>
          <cell r="E223" t="str">
            <v/>
          </cell>
          <cell r="F223" t="str">
            <v>PESANGGRAHAN</v>
          </cell>
          <cell r="G223" t="str">
            <v>R</v>
          </cell>
          <cell r="H223">
            <v>42947</v>
          </cell>
          <cell r="I223" t="str">
            <v xml:space="preserve">STANDARD </v>
          </cell>
          <cell r="J223">
            <v>2005008004</v>
          </cell>
          <cell r="K223" t="str">
            <v>JOKO DWI PRASETYO</v>
          </cell>
          <cell r="L223" t="str">
            <v>JDP</v>
          </cell>
          <cell r="M223">
            <v>2010004252</v>
          </cell>
          <cell r="N223" t="str">
            <v>AGUS SURYO PRASETYO</v>
          </cell>
          <cell r="O223" t="str">
            <v>ASP</v>
          </cell>
          <cell r="P223" t="str">
            <v>idmTKLJ@jbr.indomaret.co.id</v>
          </cell>
          <cell r="Q223" t="str">
            <v>KAB. SITUBONDO</v>
          </cell>
          <cell r="R223" t="str">
            <v>SDS</v>
          </cell>
        </row>
        <row r="224">
          <cell r="D224" t="str">
            <v>TMEJ</v>
          </cell>
          <cell r="E224" t="str">
            <v/>
          </cell>
          <cell r="F224" t="str">
            <v>RAYA SITUBONDO BANYUPUTIH</v>
          </cell>
          <cell r="G224" t="str">
            <v>R</v>
          </cell>
          <cell r="H224">
            <v>45290</v>
          </cell>
          <cell r="I224" t="str">
            <v xml:space="preserve">STANDARD </v>
          </cell>
          <cell r="J224">
            <v>2005008004</v>
          </cell>
          <cell r="K224" t="str">
            <v>JOKO DWI PRASETYO</v>
          </cell>
          <cell r="L224" t="str">
            <v>JDP</v>
          </cell>
          <cell r="M224">
            <v>2010004252</v>
          </cell>
          <cell r="N224" t="str">
            <v>AGUS SURYO PRASETYO</v>
          </cell>
          <cell r="O224" t="str">
            <v>ASP</v>
          </cell>
          <cell r="P224" t="str">
            <v>idmTMEJ@jbr.indomaret.co.id</v>
          </cell>
          <cell r="Q224" t="str">
            <v>KAB. SITUBONDO</v>
          </cell>
          <cell r="R224" t="str">
            <v>SDS</v>
          </cell>
        </row>
        <row r="225">
          <cell r="D225" t="str">
            <v>TVBE</v>
          </cell>
          <cell r="E225" t="str">
            <v/>
          </cell>
          <cell r="F225" t="str">
            <v>SUMBERANYAR</v>
          </cell>
          <cell r="G225" t="str">
            <v>R</v>
          </cell>
          <cell r="H225">
            <v>43008</v>
          </cell>
          <cell r="I225" t="str">
            <v xml:space="preserve">STANDARD </v>
          </cell>
          <cell r="J225">
            <v>2005008004</v>
          </cell>
          <cell r="K225" t="str">
            <v>JOKO DWI PRASETYO</v>
          </cell>
          <cell r="L225" t="str">
            <v>JDP</v>
          </cell>
          <cell r="M225">
            <v>2010004252</v>
          </cell>
          <cell r="N225" t="str">
            <v>AGUS SURYO PRASETYO</v>
          </cell>
          <cell r="O225" t="str">
            <v>ASP</v>
          </cell>
          <cell r="P225" t="str">
            <v>idmTVBE@jbr.indomaret.co.id</v>
          </cell>
          <cell r="Q225" t="str">
            <v>KAB. SITUBONDO</v>
          </cell>
          <cell r="R225" t="str">
            <v>SDS</v>
          </cell>
        </row>
        <row r="226">
          <cell r="D226" t="str">
            <v>F79G</v>
          </cell>
          <cell r="E226" t="str">
            <v/>
          </cell>
          <cell r="F226" t="str">
            <v>CERMEE</v>
          </cell>
          <cell r="G226" t="str">
            <v>F</v>
          </cell>
          <cell r="H226">
            <v>44485</v>
          </cell>
          <cell r="I226" t="str">
            <v xml:space="preserve">STANDARD </v>
          </cell>
          <cell r="J226">
            <v>2005008004</v>
          </cell>
          <cell r="K226" t="str">
            <v>JOKO DWI PRASETYO</v>
          </cell>
          <cell r="L226" t="str">
            <v>JDP</v>
          </cell>
          <cell r="M226">
            <v>2013032809</v>
          </cell>
          <cell r="N226" t="str">
            <v>ERIYANTO</v>
          </cell>
          <cell r="O226" t="str">
            <v>ERT</v>
          </cell>
          <cell r="P226" t="str">
            <v>idF79G@jbr.indomaret.co.id</v>
          </cell>
          <cell r="Q226" t="str">
            <v>KAB. BONDOWOSO</v>
          </cell>
          <cell r="R226" t="str">
            <v>SDS</v>
          </cell>
        </row>
        <row r="227">
          <cell r="D227" t="str">
            <v>F85C</v>
          </cell>
          <cell r="E227" t="str">
            <v/>
          </cell>
          <cell r="F227" t="str">
            <v>PRAJEKAN</v>
          </cell>
          <cell r="G227" t="str">
            <v>F</v>
          </cell>
          <cell r="H227">
            <v>45378</v>
          </cell>
          <cell r="I227" t="str">
            <v xml:space="preserve">STANDARD </v>
          </cell>
          <cell r="J227">
            <v>2005008004</v>
          </cell>
          <cell r="K227" t="str">
            <v>JOKO DWI PRASETYO</v>
          </cell>
          <cell r="L227" t="str">
            <v>JDP</v>
          </cell>
          <cell r="M227">
            <v>2013032809</v>
          </cell>
          <cell r="N227" t="str">
            <v>ERIYANTO</v>
          </cell>
          <cell r="O227" t="str">
            <v>ERT</v>
          </cell>
          <cell r="P227" t="str">
            <v>idF85C@jbr.indomaret.co.id</v>
          </cell>
          <cell r="Q227" t="str">
            <v>KAB. BONDOWOSO</v>
          </cell>
          <cell r="R227" t="str">
            <v>SDS</v>
          </cell>
        </row>
        <row r="228">
          <cell r="D228" t="str">
            <v>F8HH</v>
          </cell>
          <cell r="E228" t="str">
            <v/>
          </cell>
          <cell r="F228" t="str">
            <v>RAYA SITUBONDO KOTAKAN</v>
          </cell>
          <cell r="G228" t="str">
            <v>F</v>
          </cell>
          <cell r="H228">
            <v>45157</v>
          </cell>
          <cell r="I228" t="str">
            <v xml:space="preserve">STANDARD </v>
          </cell>
          <cell r="J228">
            <v>2005008004</v>
          </cell>
          <cell r="K228" t="str">
            <v>JOKO DWI PRASETYO</v>
          </cell>
          <cell r="L228" t="str">
            <v>JDP</v>
          </cell>
          <cell r="M228">
            <v>2013032809</v>
          </cell>
          <cell r="N228" t="str">
            <v>ERIYANTO</v>
          </cell>
          <cell r="O228" t="str">
            <v>ERT</v>
          </cell>
          <cell r="P228" t="str">
            <v>idF8HH@jbr.indomaret.co.id</v>
          </cell>
          <cell r="Q228" t="str">
            <v>KAB. SITUBONDO</v>
          </cell>
          <cell r="R228" t="str">
            <v>SDS</v>
          </cell>
        </row>
        <row r="229">
          <cell r="D229" t="str">
            <v>FINN</v>
          </cell>
          <cell r="E229" t="str">
            <v>TEET</v>
          </cell>
          <cell r="F229" t="str">
            <v>RAYA PRAJEKAN - BDO</v>
          </cell>
          <cell r="G229" t="str">
            <v>F</v>
          </cell>
          <cell r="H229">
            <v>44256</v>
          </cell>
          <cell r="I229" t="str">
            <v xml:space="preserve">STANDARD </v>
          </cell>
          <cell r="J229">
            <v>2005008004</v>
          </cell>
          <cell r="K229" t="str">
            <v>JOKO DWI PRASETYO</v>
          </cell>
          <cell r="L229" t="str">
            <v>JDP</v>
          </cell>
          <cell r="M229">
            <v>2013032809</v>
          </cell>
          <cell r="N229" t="str">
            <v>ERIYANTO</v>
          </cell>
          <cell r="O229" t="str">
            <v>ERT</v>
          </cell>
          <cell r="P229" t="str">
            <v>idFINN@jbr.indomaret.co.id</v>
          </cell>
          <cell r="Q229" t="str">
            <v>KAB. BONDOWOSO</v>
          </cell>
          <cell r="R229" t="str">
            <v>SDS</v>
          </cell>
        </row>
        <row r="230">
          <cell r="D230" t="str">
            <v>T3HG</v>
          </cell>
          <cell r="E230" t="str">
            <v>F52R</v>
          </cell>
          <cell r="F230" t="str">
            <v>PB. SUDIRMAN</v>
          </cell>
          <cell r="G230" t="str">
            <v>R</v>
          </cell>
          <cell r="H230">
            <v>41640</v>
          </cell>
          <cell r="I230" t="str">
            <v>STANDARD NEW</v>
          </cell>
          <cell r="J230">
            <v>2005008004</v>
          </cell>
          <cell r="K230" t="str">
            <v>JOKO DWI PRASETYO</v>
          </cell>
          <cell r="L230" t="str">
            <v>JDP</v>
          </cell>
          <cell r="M230">
            <v>2013032809</v>
          </cell>
          <cell r="N230" t="str">
            <v>ERIYANTO</v>
          </cell>
          <cell r="O230" t="str">
            <v>ERT</v>
          </cell>
          <cell r="P230" t="str">
            <v>idmT3HG@jbr.indomaret.co.id</v>
          </cell>
          <cell r="Q230" t="str">
            <v>KAB. SITUBONDO</v>
          </cell>
          <cell r="R230" t="str">
            <v>SDN</v>
          </cell>
        </row>
        <row r="231">
          <cell r="D231" t="str">
            <v>TFOX</v>
          </cell>
          <cell r="E231" t="str">
            <v/>
          </cell>
          <cell r="F231" t="str">
            <v>RAYA BERCAK ASRI</v>
          </cell>
          <cell r="G231" t="str">
            <v>R</v>
          </cell>
          <cell r="H231">
            <v>45077</v>
          </cell>
          <cell r="I231" t="str">
            <v xml:space="preserve">STANDARD </v>
          </cell>
          <cell r="J231">
            <v>2005008004</v>
          </cell>
          <cell r="K231" t="str">
            <v>JOKO DWI PRASETYO</v>
          </cell>
          <cell r="L231" t="str">
            <v>JDP</v>
          </cell>
          <cell r="M231">
            <v>2013032809</v>
          </cell>
          <cell r="N231" t="str">
            <v>ERIYANTO</v>
          </cell>
          <cell r="O231" t="str">
            <v>ERT</v>
          </cell>
          <cell r="P231" t="str">
            <v>idmTFOX@jbr.indomaret.co.id</v>
          </cell>
          <cell r="Q231" t="str">
            <v>KAB. BONDOWOSO</v>
          </cell>
          <cell r="R231" t="str">
            <v>SDS</v>
          </cell>
        </row>
        <row r="232">
          <cell r="D232" t="str">
            <v>THVM</v>
          </cell>
          <cell r="E232" t="str">
            <v/>
          </cell>
          <cell r="F232" t="str">
            <v>SULING KULON</v>
          </cell>
          <cell r="G232" t="str">
            <v>R</v>
          </cell>
          <cell r="H232">
            <v>44810</v>
          </cell>
          <cell r="I232" t="str">
            <v xml:space="preserve">STANDARD </v>
          </cell>
          <cell r="J232">
            <v>2005008004</v>
          </cell>
          <cell r="K232" t="str">
            <v>JOKO DWI PRASETYO</v>
          </cell>
          <cell r="L232" t="str">
            <v>JDP</v>
          </cell>
          <cell r="M232">
            <v>2013032809</v>
          </cell>
          <cell r="N232" t="str">
            <v>ERIYANTO</v>
          </cell>
          <cell r="O232" t="str">
            <v>ERT</v>
          </cell>
          <cell r="P232" t="str">
            <v>idmTHVM@jbr.indomaret.co.id</v>
          </cell>
          <cell r="Q232" t="str">
            <v>KAB. BONDOWOSO</v>
          </cell>
          <cell r="R232" t="str">
            <v>SDS</v>
          </cell>
        </row>
        <row r="233">
          <cell r="D233" t="str">
            <v>TJOL</v>
          </cell>
          <cell r="E233" t="str">
            <v>FELY</v>
          </cell>
          <cell r="F233" t="str">
            <v>WIDURI - BONDOWOSO</v>
          </cell>
          <cell r="G233" t="str">
            <v>R</v>
          </cell>
          <cell r="H233">
            <v>46082</v>
          </cell>
          <cell r="I233" t="str">
            <v xml:space="preserve">STANDARD </v>
          </cell>
          <cell r="J233">
            <v>2005008004</v>
          </cell>
          <cell r="K233" t="str">
            <v>JOKO DWI PRASETYO</v>
          </cell>
          <cell r="L233" t="str">
            <v>JDP</v>
          </cell>
          <cell r="M233">
            <v>2013032809</v>
          </cell>
          <cell r="N233" t="str">
            <v>ERIYANTO</v>
          </cell>
          <cell r="O233" t="str">
            <v>ERT</v>
          </cell>
          <cell r="P233" t="str">
            <v>idmTJOL@jbr.indomaret.co.id</v>
          </cell>
          <cell r="Q233" t="str">
            <v>KAB. BONDOWOSO</v>
          </cell>
          <cell r="R233" t="str">
            <v>SDS</v>
          </cell>
        </row>
        <row r="234">
          <cell r="D234" t="str">
            <v>TPHA</v>
          </cell>
          <cell r="E234" t="str">
            <v>FNKL</v>
          </cell>
          <cell r="F234" t="str">
            <v>SUMBER KOLAK - SITUBONDO</v>
          </cell>
          <cell r="G234" t="str">
            <v>R</v>
          </cell>
          <cell r="H234">
            <v>44621</v>
          </cell>
          <cell r="I234" t="str">
            <v xml:space="preserve">STANDARD </v>
          </cell>
          <cell r="J234">
            <v>2005008004</v>
          </cell>
          <cell r="K234" t="str">
            <v>JOKO DWI PRASETYO</v>
          </cell>
          <cell r="L234" t="str">
            <v>JDP</v>
          </cell>
          <cell r="M234">
            <v>2013032809</v>
          </cell>
          <cell r="N234" t="str">
            <v>ERIYANTO</v>
          </cell>
          <cell r="O234" t="str">
            <v>ERT</v>
          </cell>
          <cell r="P234" t="str">
            <v>idmTPHA@jbr.indomaret.co.id</v>
          </cell>
          <cell r="Q234" t="str">
            <v>KAB. SITUBONDO</v>
          </cell>
          <cell r="R234" t="str">
            <v>SDS</v>
          </cell>
        </row>
        <row r="235">
          <cell r="D235" t="str">
            <v>TQU7</v>
          </cell>
          <cell r="E235"/>
          <cell r="F235" t="str">
            <v>PANCUR</v>
          </cell>
          <cell r="G235" t="str">
            <v>R</v>
          </cell>
          <cell r="H235">
            <v>45983</v>
          </cell>
          <cell r="I235" t="str">
            <v xml:space="preserve">STANDARD </v>
          </cell>
          <cell r="J235">
            <v>2005008004</v>
          </cell>
          <cell r="K235" t="str">
            <v>JOKO DWI PRASETYO</v>
          </cell>
          <cell r="L235" t="str">
            <v>JDP</v>
          </cell>
          <cell r="M235">
            <v>2013032809</v>
          </cell>
          <cell r="N235" t="str">
            <v>ERIYANTO</v>
          </cell>
          <cell r="O235" t="str">
            <v>ERT</v>
          </cell>
          <cell r="P235" t="str">
            <v>idmTQU7@jbr.indomaret.co.id</v>
          </cell>
          <cell r="Q235" t="str">
            <v>KAB. BONDOWOSO</v>
          </cell>
          <cell r="R235" t="str">
            <v>SDS</v>
          </cell>
        </row>
        <row r="236">
          <cell r="D236" t="str">
            <v>TWEK</v>
          </cell>
          <cell r="E236" t="str">
            <v/>
          </cell>
          <cell r="F236" t="str">
            <v>CEMPAKA - SITUBONDO</v>
          </cell>
          <cell r="G236" t="str">
            <v>R</v>
          </cell>
          <cell r="H236">
            <v>41577</v>
          </cell>
          <cell r="I236" t="str">
            <v xml:space="preserve">STANDARD </v>
          </cell>
          <cell r="J236">
            <v>2005008004</v>
          </cell>
          <cell r="K236" t="str">
            <v>JOKO DWI PRASETYO</v>
          </cell>
          <cell r="L236" t="str">
            <v>JDP</v>
          </cell>
          <cell r="M236">
            <v>2013032809</v>
          </cell>
          <cell r="N236" t="str">
            <v>ERIYANTO</v>
          </cell>
          <cell r="O236" t="str">
            <v>ERT</v>
          </cell>
          <cell r="P236" t="str">
            <v>idmTWEK@jbr.indomaret.co.id</v>
          </cell>
          <cell r="Q236" t="str">
            <v>KAB. SITUBONDO</v>
          </cell>
          <cell r="R236" t="str">
            <v>SDS</v>
          </cell>
        </row>
        <row r="237">
          <cell r="D237" t="str">
            <v>F2JC</v>
          </cell>
          <cell r="E237"/>
          <cell r="F237" t="str">
            <v>PANJI LOR</v>
          </cell>
          <cell r="G237" t="str">
            <v>F</v>
          </cell>
          <cell r="H237">
            <v>46021</v>
          </cell>
          <cell r="I237" t="str">
            <v xml:space="preserve">STANDARD </v>
          </cell>
          <cell r="J237">
            <v>2005008004</v>
          </cell>
          <cell r="K237" t="str">
            <v>JOKO DWI PRASETYO</v>
          </cell>
          <cell r="L237" t="str">
            <v>JDP</v>
          </cell>
          <cell r="M237">
            <v>2003007749</v>
          </cell>
          <cell r="N237" t="str">
            <v>FERY RUDI SANTARA</v>
          </cell>
          <cell r="O237" t="str">
            <v>FRA</v>
          </cell>
          <cell r="P237" t="str">
            <v>idF2JC@jbr.indomaret.co.id</v>
          </cell>
          <cell r="Q237" t="str">
            <v>KAB. SITUBONDO</v>
          </cell>
          <cell r="R237" t="str">
            <v>SDS</v>
          </cell>
        </row>
        <row r="238">
          <cell r="D238" t="str">
            <v>F65R</v>
          </cell>
          <cell r="E238" t="str">
            <v/>
          </cell>
          <cell r="F238" t="str">
            <v>RAYA PASIR PUTIH</v>
          </cell>
          <cell r="G238" t="str">
            <v>F</v>
          </cell>
          <cell r="H238">
            <v>45087</v>
          </cell>
          <cell r="I238" t="str">
            <v xml:space="preserve">STANDARD </v>
          </cell>
          <cell r="J238">
            <v>2005008004</v>
          </cell>
          <cell r="K238" t="str">
            <v>JOKO DWI PRASETYO</v>
          </cell>
          <cell r="L238" t="str">
            <v>JDP</v>
          </cell>
          <cell r="M238">
            <v>2003007749</v>
          </cell>
          <cell r="N238" t="str">
            <v>FERY RUDI SANTARA</v>
          </cell>
          <cell r="O238" t="str">
            <v>FRA</v>
          </cell>
          <cell r="P238" t="str">
            <v>idF65R@jbr.indomaret.co.id</v>
          </cell>
          <cell r="Q238" t="str">
            <v>KAB. SITUBONDO</v>
          </cell>
          <cell r="R238" t="str">
            <v>SDS</v>
          </cell>
        </row>
        <row r="239">
          <cell r="D239" t="str">
            <v>FXDV</v>
          </cell>
          <cell r="E239" t="str">
            <v>TREA</v>
          </cell>
          <cell r="F239" t="str">
            <v>PANARUKAN-SITUBONDO</v>
          </cell>
          <cell r="G239" t="str">
            <v>F</v>
          </cell>
          <cell r="H239">
            <v>45108</v>
          </cell>
          <cell r="I239" t="str">
            <v xml:space="preserve">STANDARD </v>
          </cell>
          <cell r="J239">
            <v>2005008004</v>
          </cell>
          <cell r="K239" t="str">
            <v>JOKO DWI PRASETYO</v>
          </cell>
          <cell r="L239" t="str">
            <v>JDP</v>
          </cell>
          <cell r="M239">
            <v>2003007749</v>
          </cell>
          <cell r="N239" t="str">
            <v>FERY RUDI SANTARA</v>
          </cell>
          <cell r="O239" t="str">
            <v>FRA</v>
          </cell>
          <cell r="P239" t="str">
            <v>idFXDV@jbr.indomaret.co.id</v>
          </cell>
          <cell r="Q239" t="str">
            <v>KAB. SITUBONDO</v>
          </cell>
          <cell r="R239" t="str">
            <v>SDS</v>
          </cell>
        </row>
        <row r="240">
          <cell r="D240" t="str">
            <v>TA83</v>
          </cell>
          <cell r="E240" t="str">
            <v/>
          </cell>
          <cell r="F240" t="str">
            <v>MIMBAAN - SITUBONDO</v>
          </cell>
          <cell r="G240" t="str">
            <v>R</v>
          </cell>
          <cell r="H240">
            <v>39476</v>
          </cell>
          <cell r="I240" t="str">
            <v>STANDARD NEW</v>
          </cell>
          <cell r="J240">
            <v>2005008004</v>
          </cell>
          <cell r="K240" t="str">
            <v>JOKO DWI PRASETYO</v>
          </cell>
          <cell r="L240" t="str">
            <v>JDP</v>
          </cell>
          <cell r="M240">
            <v>2003007749</v>
          </cell>
          <cell r="N240" t="str">
            <v>FERY RUDI SANTARA</v>
          </cell>
          <cell r="O240" t="str">
            <v>FRA</v>
          </cell>
          <cell r="P240" t="str">
            <v>idmTA83@jbr.indomaret.co.id</v>
          </cell>
          <cell r="Q240" t="str">
            <v>KAB. SITUBONDO</v>
          </cell>
          <cell r="R240" t="str">
            <v>SDN</v>
          </cell>
        </row>
        <row r="241">
          <cell r="D241" t="str">
            <v>TBEF</v>
          </cell>
          <cell r="E241" t="str">
            <v/>
          </cell>
          <cell r="F241" t="str">
            <v>KLATAKAN PANARUKAN</v>
          </cell>
          <cell r="G241" t="str">
            <v>R</v>
          </cell>
          <cell r="H241">
            <v>43069</v>
          </cell>
          <cell r="I241" t="str">
            <v>STANDARD NEW</v>
          </cell>
          <cell r="J241">
            <v>2005008004</v>
          </cell>
          <cell r="K241" t="str">
            <v>JOKO DWI PRASETYO</v>
          </cell>
          <cell r="L241" t="str">
            <v>JDP</v>
          </cell>
          <cell r="M241">
            <v>2003007749</v>
          </cell>
          <cell r="N241" t="str">
            <v>FERY RUDI SANTARA</v>
          </cell>
          <cell r="O241" t="str">
            <v>FRA</v>
          </cell>
          <cell r="P241" t="str">
            <v>idmTBEF@jbr.indomaret.co.id</v>
          </cell>
          <cell r="Q241" t="str">
            <v>KAB. SITUBONDO</v>
          </cell>
          <cell r="R241" t="str">
            <v>SDN</v>
          </cell>
        </row>
        <row r="242">
          <cell r="D242" t="str">
            <v>TFJJ</v>
          </cell>
          <cell r="E242" t="str">
            <v>FL68</v>
          </cell>
          <cell r="F242" t="str">
            <v>SITUBONDO</v>
          </cell>
          <cell r="G242" t="str">
            <v>R</v>
          </cell>
          <cell r="H242">
            <v>41244</v>
          </cell>
          <cell r="I242" t="str">
            <v xml:space="preserve">STANDARD </v>
          </cell>
          <cell r="J242">
            <v>2005008004</v>
          </cell>
          <cell r="K242" t="str">
            <v>JOKO DWI PRASETYO</v>
          </cell>
          <cell r="L242" t="str">
            <v>JDP</v>
          </cell>
          <cell r="M242">
            <v>2003007749</v>
          </cell>
          <cell r="N242" t="str">
            <v>FERY RUDI SANTARA</v>
          </cell>
          <cell r="O242" t="str">
            <v>FRA</v>
          </cell>
          <cell r="P242" t="str">
            <v>idmTFJJ@jbr.indomaret.co.id</v>
          </cell>
          <cell r="Q242" t="str">
            <v>KAB. SITUBONDO</v>
          </cell>
          <cell r="R242" t="str">
            <v>SDS</v>
          </cell>
        </row>
        <row r="243">
          <cell r="D243" t="str">
            <v>TQFR</v>
          </cell>
          <cell r="E243" t="str">
            <v/>
          </cell>
          <cell r="F243" t="str">
            <v>PB SUDIRMAN 10</v>
          </cell>
          <cell r="G243" t="str">
            <v>R</v>
          </cell>
          <cell r="H243">
            <v>42916</v>
          </cell>
          <cell r="I243" t="str">
            <v>STANDARD NEW</v>
          </cell>
          <cell r="J243">
            <v>2005008004</v>
          </cell>
          <cell r="K243" t="str">
            <v>JOKO DWI PRASETYO</v>
          </cell>
          <cell r="L243" t="str">
            <v>JDP</v>
          </cell>
          <cell r="M243">
            <v>2003007749</v>
          </cell>
          <cell r="N243" t="str">
            <v>FERY RUDI SANTARA</v>
          </cell>
          <cell r="O243" t="str">
            <v>FRA</v>
          </cell>
          <cell r="P243" t="str">
            <v>idmTQFR@jbr.indomaret.co.id</v>
          </cell>
          <cell r="Q243" t="str">
            <v>KAB. SITUBONDO</v>
          </cell>
          <cell r="R243" t="str">
            <v>SDN</v>
          </cell>
        </row>
        <row r="244">
          <cell r="D244" t="str">
            <v>TR69</v>
          </cell>
          <cell r="E244" t="str">
            <v/>
          </cell>
          <cell r="F244" t="str">
            <v>SUCIPTO SITUBONDO</v>
          </cell>
          <cell r="G244" t="str">
            <v>R</v>
          </cell>
          <cell r="H244">
            <v>40694</v>
          </cell>
          <cell r="I244" t="str">
            <v xml:space="preserve">STANDARD </v>
          </cell>
          <cell r="J244">
            <v>2005008004</v>
          </cell>
          <cell r="K244" t="str">
            <v>JOKO DWI PRASETYO</v>
          </cell>
          <cell r="L244" t="str">
            <v>JDP</v>
          </cell>
          <cell r="M244">
            <v>2003007749</v>
          </cell>
          <cell r="N244" t="str">
            <v>FERY RUDI SANTARA</v>
          </cell>
          <cell r="O244" t="str">
            <v>FRA</v>
          </cell>
          <cell r="P244" t="str">
            <v>idmTR69@jbr.indomaret.co.id</v>
          </cell>
          <cell r="Q244" t="str">
            <v>KAB. SITUBONDO</v>
          </cell>
          <cell r="R244" t="str">
            <v>SDS</v>
          </cell>
        </row>
        <row r="245">
          <cell r="D245" t="str">
            <v>TRAX</v>
          </cell>
          <cell r="E245" t="str">
            <v>FDD6</v>
          </cell>
          <cell r="F245" t="str">
            <v>WRINGIN ANOM</v>
          </cell>
          <cell r="G245" t="str">
            <v>R</v>
          </cell>
          <cell r="H245">
            <v>41426</v>
          </cell>
          <cell r="I245" t="str">
            <v xml:space="preserve">STANDARD </v>
          </cell>
          <cell r="J245">
            <v>2005008004</v>
          </cell>
          <cell r="K245" t="str">
            <v>JOKO DWI PRASETYO</v>
          </cell>
          <cell r="L245" t="str">
            <v>JDP</v>
          </cell>
          <cell r="M245">
            <v>2003007749</v>
          </cell>
          <cell r="N245" t="str">
            <v>FERY RUDI SANTARA</v>
          </cell>
          <cell r="O245" t="str">
            <v>FRA</v>
          </cell>
          <cell r="P245" t="str">
            <v>idmTRAX@jbr.indomaret.co.id</v>
          </cell>
          <cell r="Q245" t="str">
            <v>KAB. SITUBONDO</v>
          </cell>
          <cell r="R245" t="str">
            <v>SDS</v>
          </cell>
        </row>
        <row r="246">
          <cell r="D246" t="str">
            <v>TWKE</v>
          </cell>
          <cell r="E246" t="str">
            <v/>
          </cell>
          <cell r="F246" t="str">
            <v>ALAS MALANG</v>
          </cell>
          <cell r="G246" t="str">
            <v>R</v>
          </cell>
          <cell r="H246">
            <v>42998</v>
          </cell>
          <cell r="I246" t="str">
            <v xml:space="preserve">STANDARD </v>
          </cell>
          <cell r="J246">
            <v>2005008004</v>
          </cell>
          <cell r="K246" t="str">
            <v>JOKO DWI PRASETYO</v>
          </cell>
          <cell r="L246" t="str">
            <v>JDP</v>
          </cell>
          <cell r="M246">
            <v>2003007749</v>
          </cell>
          <cell r="N246" t="str">
            <v>FERY RUDI SANTARA</v>
          </cell>
          <cell r="O246" t="str">
            <v>FRA</v>
          </cell>
          <cell r="P246" t="str">
            <v>idmTWKE@jbr.indomaret.co.id</v>
          </cell>
          <cell r="Q246" t="str">
            <v>KAB. SITUBONDO</v>
          </cell>
          <cell r="R246" t="str">
            <v>SDS</v>
          </cell>
        </row>
        <row r="247">
          <cell r="D247" t="str">
            <v>TXK2</v>
          </cell>
          <cell r="E247" t="str">
            <v/>
          </cell>
          <cell r="F247" t="str">
            <v>RAYA PASIR PUTIH KM 26</v>
          </cell>
          <cell r="G247" t="str">
            <v>R</v>
          </cell>
          <cell r="H247">
            <v>45077</v>
          </cell>
          <cell r="I247" t="str">
            <v xml:space="preserve">STANDARD </v>
          </cell>
          <cell r="J247">
            <v>2005008004</v>
          </cell>
          <cell r="K247" t="str">
            <v>JOKO DWI PRASETYO</v>
          </cell>
          <cell r="L247" t="str">
            <v>JDP</v>
          </cell>
          <cell r="M247">
            <v>2003007749</v>
          </cell>
          <cell r="N247" t="str">
            <v>FERY RUDI SANTARA</v>
          </cell>
          <cell r="O247" t="str">
            <v>FRA</v>
          </cell>
          <cell r="P247" t="str">
            <v>idmTXK2@jbr.indomaret.co.id</v>
          </cell>
          <cell r="Q247" t="str">
            <v>KAB. SITUBONDO</v>
          </cell>
          <cell r="R247" t="str">
            <v>SDS</v>
          </cell>
        </row>
        <row r="248">
          <cell r="D248" t="str">
            <v>TYEY</v>
          </cell>
          <cell r="E248" t="str">
            <v>FAZ2</v>
          </cell>
          <cell r="F248" t="str">
            <v>WR.SUPRATMAN</v>
          </cell>
          <cell r="G248" t="str">
            <v>R</v>
          </cell>
          <cell r="H248">
            <v>44378</v>
          </cell>
          <cell r="I248" t="str">
            <v xml:space="preserve">STANDARD </v>
          </cell>
          <cell r="J248">
            <v>2005008004</v>
          </cell>
          <cell r="K248" t="str">
            <v>JOKO DWI PRASETYO</v>
          </cell>
          <cell r="L248" t="str">
            <v>JDP</v>
          </cell>
          <cell r="M248">
            <v>2003007749</v>
          </cell>
          <cell r="N248" t="str">
            <v>FERY RUDI SANTARA</v>
          </cell>
          <cell r="O248" t="str">
            <v>FRA</v>
          </cell>
          <cell r="P248" t="str">
            <v>idmTYEY@jbr.indomaret.co.id</v>
          </cell>
          <cell r="Q248" t="str">
            <v>KAB. SITUBONDO</v>
          </cell>
          <cell r="R248" t="str">
            <v>SDS</v>
          </cell>
        </row>
        <row r="249">
          <cell r="D249" t="str">
            <v>F55Q</v>
          </cell>
          <cell r="E249" t="str">
            <v>TCK6</v>
          </cell>
          <cell r="F249" t="str">
            <v>ANGGREK - SITUBONDO</v>
          </cell>
          <cell r="G249" t="str">
            <v>F</v>
          </cell>
          <cell r="H249">
            <v>44348</v>
          </cell>
          <cell r="I249" t="str">
            <v xml:space="preserve">STANDARD </v>
          </cell>
          <cell r="J249">
            <v>2005008004</v>
          </cell>
          <cell r="K249" t="str">
            <v>JOKO DWI PRASETYO</v>
          </cell>
          <cell r="L249" t="str">
            <v>JDP</v>
          </cell>
          <cell r="M249">
            <v>2000000921</v>
          </cell>
          <cell r="N249" t="str">
            <v>KUSIYADI</v>
          </cell>
          <cell r="O249" t="str">
            <v>KSI</v>
          </cell>
          <cell r="P249" t="str">
            <v>idF55Q@jbr.indomaret.co.id</v>
          </cell>
          <cell r="Q249" t="str">
            <v>KAB. SITUBONDO</v>
          </cell>
          <cell r="R249" t="str">
            <v>SDS</v>
          </cell>
        </row>
        <row r="250">
          <cell r="D250" t="str">
            <v>FBGS</v>
          </cell>
          <cell r="E250" t="str">
            <v>TT95</v>
          </cell>
          <cell r="F250" t="str">
            <v>KAPONGAN - STO</v>
          </cell>
          <cell r="G250" t="str">
            <v>F</v>
          </cell>
          <cell r="H250">
            <v>44713</v>
          </cell>
          <cell r="I250" t="str">
            <v xml:space="preserve">STANDARD </v>
          </cell>
          <cell r="J250">
            <v>2005008004</v>
          </cell>
          <cell r="K250" t="str">
            <v>JOKO DWI PRASETYO</v>
          </cell>
          <cell r="L250" t="str">
            <v>JDP</v>
          </cell>
          <cell r="M250">
            <v>2000000921</v>
          </cell>
          <cell r="N250" t="str">
            <v>KUSIYADI</v>
          </cell>
          <cell r="O250" t="str">
            <v>KSI</v>
          </cell>
          <cell r="P250" t="str">
            <v>idFBGS@jbr.indomaret.co.id</v>
          </cell>
          <cell r="Q250" t="str">
            <v>KAB. SITUBONDO</v>
          </cell>
          <cell r="R250" t="str">
            <v>SDS</v>
          </cell>
        </row>
        <row r="251">
          <cell r="D251" t="str">
            <v>FHRT</v>
          </cell>
          <cell r="E251" t="str">
            <v>TRAP</v>
          </cell>
          <cell r="F251" t="str">
            <v>PANJI SITUBONDO</v>
          </cell>
          <cell r="G251" t="str">
            <v>F</v>
          </cell>
          <cell r="H251">
            <v>45413</v>
          </cell>
          <cell r="I251" t="str">
            <v xml:space="preserve">STANDARD </v>
          </cell>
          <cell r="J251">
            <v>2005008004</v>
          </cell>
          <cell r="K251" t="str">
            <v>JOKO DWI PRASETYO</v>
          </cell>
          <cell r="L251" t="str">
            <v>JDP</v>
          </cell>
          <cell r="M251">
            <v>2000000921</v>
          </cell>
          <cell r="N251" t="str">
            <v>KUSIYADI</v>
          </cell>
          <cell r="O251" t="str">
            <v>KSI</v>
          </cell>
          <cell r="P251" t="str">
            <v>idFHRT@jbr.indomaret.co.id</v>
          </cell>
          <cell r="Q251" t="str">
            <v>KAB. SITUBONDO</v>
          </cell>
          <cell r="R251" t="str">
            <v>SDS</v>
          </cell>
        </row>
        <row r="252">
          <cell r="D252" t="str">
            <v>FQ49</v>
          </cell>
          <cell r="E252" t="str">
            <v>TA29</v>
          </cell>
          <cell r="F252" t="str">
            <v>CURAH JERUH - JBR</v>
          </cell>
          <cell r="G252" t="str">
            <v>F</v>
          </cell>
          <cell r="H252">
            <v>44228</v>
          </cell>
          <cell r="I252" t="str">
            <v xml:space="preserve">STANDARD </v>
          </cell>
          <cell r="J252">
            <v>2005008004</v>
          </cell>
          <cell r="K252" t="str">
            <v>JOKO DWI PRASETYO</v>
          </cell>
          <cell r="L252" t="str">
            <v>JDP</v>
          </cell>
          <cell r="M252">
            <v>2000000921</v>
          </cell>
          <cell r="N252" t="str">
            <v>KUSIYADI</v>
          </cell>
          <cell r="O252" t="str">
            <v>KSI</v>
          </cell>
          <cell r="P252" t="str">
            <v>idFQ49@jbr.indomaret.co.id</v>
          </cell>
          <cell r="Q252" t="str">
            <v>KAB. SITUBONDO</v>
          </cell>
          <cell r="R252" t="str">
            <v>SDS</v>
          </cell>
        </row>
        <row r="253">
          <cell r="D253" t="str">
            <v>FSTV</v>
          </cell>
          <cell r="E253" t="str">
            <v/>
          </cell>
          <cell r="F253" t="str">
            <v>CONGAPAN</v>
          </cell>
          <cell r="G253" t="str">
            <v>F</v>
          </cell>
          <cell r="H253">
            <v>44945</v>
          </cell>
          <cell r="I253" t="str">
            <v xml:space="preserve">STANDARD </v>
          </cell>
          <cell r="J253">
            <v>2005008004</v>
          </cell>
          <cell r="K253" t="str">
            <v>JOKO DWI PRASETYO</v>
          </cell>
          <cell r="L253" t="str">
            <v>JDP</v>
          </cell>
          <cell r="M253">
            <v>2000000921</v>
          </cell>
          <cell r="N253" t="str">
            <v>KUSIYADI</v>
          </cell>
          <cell r="O253" t="str">
            <v>KSI</v>
          </cell>
          <cell r="P253" t="str">
            <v>idFSTV@jbr.indomaret.co.id</v>
          </cell>
          <cell r="Q253" t="str">
            <v>KAB. SITUBONDO</v>
          </cell>
          <cell r="R253" t="str">
            <v>SDS</v>
          </cell>
        </row>
        <row r="254">
          <cell r="D254" t="str">
            <v>FWRE</v>
          </cell>
          <cell r="E254" t="str">
            <v>TKAY</v>
          </cell>
          <cell r="F254" t="str">
            <v>ARJASA - SITUBONDO</v>
          </cell>
          <cell r="G254" t="str">
            <v>F</v>
          </cell>
          <cell r="H254">
            <v>44621</v>
          </cell>
          <cell r="I254" t="str">
            <v xml:space="preserve">STANDARD </v>
          </cell>
          <cell r="J254">
            <v>2005008004</v>
          </cell>
          <cell r="K254" t="str">
            <v>JOKO DWI PRASETYO</v>
          </cell>
          <cell r="L254" t="str">
            <v>JDP</v>
          </cell>
          <cell r="M254">
            <v>2000000921</v>
          </cell>
          <cell r="N254" t="str">
            <v>KUSIYADI</v>
          </cell>
          <cell r="O254" t="str">
            <v>KSI</v>
          </cell>
          <cell r="P254" t="str">
            <v>idFWRE@jbr.indomaret.co.id</v>
          </cell>
          <cell r="Q254" t="str">
            <v>KAB. SITUBONDO</v>
          </cell>
          <cell r="R254" t="str">
            <v>SDS</v>
          </cell>
        </row>
        <row r="255">
          <cell r="D255" t="str">
            <v>T2QN</v>
          </cell>
          <cell r="E255" t="str">
            <v/>
          </cell>
          <cell r="F255" t="str">
            <v>KENDIT</v>
          </cell>
          <cell r="G255" t="str">
            <v>R</v>
          </cell>
          <cell r="H255">
            <v>44674</v>
          </cell>
          <cell r="I255" t="str">
            <v xml:space="preserve">STANDARD </v>
          </cell>
          <cell r="J255">
            <v>2005008004</v>
          </cell>
          <cell r="K255" t="str">
            <v>JOKO DWI PRASETYO</v>
          </cell>
          <cell r="L255" t="str">
            <v>JDP</v>
          </cell>
          <cell r="M255">
            <v>2000000921</v>
          </cell>
          <cell r="N255" t="str">
            <v>KUSIYADI</v>
          </cell>
          <cell r="O255" t="str">
            <v>KSI</v>
          </cell>
          <cell r="P255" t="str">
            <v>idmT2QN@jbr.indomaret.co.id</v>
          </cell>
          <cell r="Q255" t="str">
            <v>KAB. SITUBONDO</v>
          </cell>
          <cell r="R255" t="str">
            <v>SDS</v>
          </cell>
        </row>
        <row r="256">
          <cell r="D256" t="str">
            <v>T9NN</v>
          </cell>
          <cell r="E256" t="str">
            <v/>
          </cell>
          <cell r="F256" t="str">
            <v>RAYA BASUKI RAHMAT - STB</v>
          </cell>
          <cell r="G256" t="str">
            <v>R</v>
          </cell>
          <cell r="H256">
            <v>41544</v>
          </cell>
          <cell r="I256" t="str">
            <v xml:space="preserve">STANDARD </v>
          </cell>
          <cell r="J256">
            <v>2005008004</v>
          </cell>
          <cell r="K256" t="str">
            <v>JOKO DWI PRASETYO</v>
          </cell>
          <cell r="L256" t="str">
            <v>JDP</v>
          </cell>
          <cell r="M256">
            <v>2000000921</v>
          </cell>
          <cell r="N256" t="str">
            <v>KUSIYADI</v>
          </cell>
          <cell r="O256" t="str">
            <v>KSI</v>
          </cell>
          <cell r="P256" t="str">
            <v>idmT9NN@jbr.indomaret.co.id</v>
          </cell>
          <cell r="Q256" t="str">
            <v>KAB. SITUBONDO</v>
          </cell>
          <cell r="R256" t="str">
            <v>SDS</v>
          </cell>
        </row>
        <row r="257">
          <cell r="D257" t="str">
            <v>TEEB</v>
          </cell>
          <cell r="E257" t="str">
            <v>FOMT</v>
          </cell>
          <cell r="F257" t="str">
            <v>WIJAYA KUSUMA STB</v>
          </cell>
          <cell r="G257" t="str">
            <v>R</v>
          </cell>
          <cell r="H257">
            <v>43556</v>
          </cell>
          <cell r="I257" t="str">
            <v xml:space="preserve">STANDARD </v>
          </cell>
          <cell r="J257">
            <v>2005008004</v>
          </cell>
          <cell r="K257" t="str">
            <v>JOKO DWI PRASETYO</v>
          </cell>
          <cell r="L257" t="str">
            <v>JDP</v>
          </cell>
          <cell r="M257">
            <v>2000000921</v>
          </cell>
          <cell r="N257" t="str">
            <v>KUSIYADI</v>
          </cell>
          <cell r="O257" t="str">
            <v>KSI</v>
          </cell>
          <cell r="P257" t="str">
            <v>idmTEEB@jbr.indomaret.co.id</v>
          </cell>
          <cell r="Q257" t="str">
            <v>KAB. SITUBONDO</v>
          </cell>
          <cell r="R257" t="str">
            <v>SDS</v>
          </cell>
        </row>
        <row r="258">
          <cell r="D258" t="str">
            <v>TMJH</v>
          </cell>
          <cell r="E258" t="str">
            <v/>
          </cell>
          <cell r="F258" t="str">
            <v>TALKANDANG</v>
          </cell>
          <cell r="G258" t="str">
            <v>R</v>
          </cell>
          <cell r="H258">
            <v>43001</v>
          </cell>
          <cell r="I258" t="str">
            <v xml:space="preserve">STANDARD </v>
          </cell>
          <cell r="J258">
            <v>2005008004</v>
          </cell>
          <cell r="K258" t="str">
            <v>JOKO DWI PRASETYO</v>
          </cell>
          <cell r="L258" t="str">
            <v>JDP</v>
          </cell>
          <cell r="M258">
            <v>2000000921</v>
          </cell>
          <cell r="N258" t="str">
            <v>KUSIYADI</v>
          </cell>
          <cell r="O258" t="str">
            <v>KSI</v>
          </cell>
          <cell r="P258" t="str">
            <v>idmTMJH@jbr.indomaret.co.id</v>
          </cell>
          <cell r="Q258" t="str">
            <v>KAB. SITUBONDO</v>
          </cell>
          <cell r="R258" t="str">
            <v>SDS</v>
          </cell>
        </row>
        <row r="259">
          <cell r="D259" t="str">
            <v>TRYC</v>
          </cell>
          <cell r="E259" t="str">
            <v/>
          </cell>
          <cell r="F259" t="str">
            <v>BASUKI RAHMAD MIMBAAN</v>
          </cell>
          <cell r="G259" t="str">
            <v>R</v>
          </cell>
          <cell r="H259">
            <v>42549</v>
          </cell>
          <cell r="I259" t="str">
            <v xml:space="preserve">STANDARD </v>
          </cell>
          <cell r="J259">
            <v>2005008004</v>
          </cell>
          <cell r="K259" t="str">
            <v>JOKO DWI PRASETYO</v>
          </cell>
          <cell r="L259" t="str">
            <v>JDP</v>
          </cell>
          <cell r="M259">
            <v>2000000921</v>
          </cell>
          <cell r="N259" t="str">
            <v>KUSIYADI</v>
          </cell>
          <cell r="O259" t="str">
            <v>KSI</v>
          </cell>
          <cell r="P259" t="str">
            <v>idmTRYC@jbr.indomaret.co.id</v>
          </cell>
          <cell r="Q259" t="str">
            <v>KAB. SITUBONDO</v>
          </cell>
          <cell r="R259" t="str">
            <v>SDS</v>
          </cell>
        </row>
        <row r="260">
          <cell r="D260" t="str">
            <v>TTSQ</v>
          </cell>
          <cell r="E260" t="str">
            <v/>
          </cell>
          <cell r="F260" t="str">
            <v>RAYA MANGARAN - STB</v>
          </cell>
          <cell r="G260" t="str">
            <v>R</v>
          </cell>
          <cell r="H260">
            <v>41544</v>
          </cell>
          <cell r="I260" t="str">
            <v xml:space="preserve">STANDARD </v>
          </cell>
          <cell r="J260">
            <v>2005008004</v>
          </cell>
          <cell r="K260" t="str">
            <v>JOKO DWI PRASETYO</v>
          </cell>
          <cell r="L260" t="str">
            <v>JDP</v>
          </cell>
          <cell r="M260">
            <v>2000000921</v>
          </cell>
          <cell r="N260" t="str">
            <v>KUSIYADI</v>
          </cell>
          <cell r="O260" t="str">
            <v>KSI</v>
          </cell>
          <cell r="P260" t="str">
            <v>idmTTSQ@jbr.indomaret.co.id</v>
          </cell>
          <cell r="Q260" t="str">
            <v>KAB. SITUBONDO</v>
          </cell>
          <cell r="R260" t="str">
            <v>SDS</v>
          </cell>
        </row>
        <row r="261">
          <cell r="D261" t="str">
            <v>F04R</v>
          </cell>
          <cell r="E261" t="str">
            <v>TA93</v>
          </cell>
          <cell r="F261" t="str">
            <v>SUKOSARI</v>
          </cell>
          <cell r="G261" t="str">
            <v>F</v>
          </cell>
          <cell r="H261">
            <v>45870</v>
          </cell>
          <cell r="I261" t="str">
            <v xml:space="preserve">STANDARD </v>
          </cell>
          <cell r="J261">
            <v>2005008004</v>
          </cell>
          <cell r="K261" t="str">
            <v>JOKO DWI PRASETYO</v>
          </cell>
          <cell r="L261" t="str">
            <v>JDP</v>
          </cell>
          <cell r="M261">
            <v>2015579915</v>
          </cell>
          <cell r="N261" t="str">
            <v>VINCENTIUS AARON PARAMAWISESA HERINA</v>
          </cell>
          <cell r="O261" t="str">
            <v>VAR</v>
          </cell>
          <cell r="P261" t="str">
            <v>idF04R@jbr.indomaret.co.id</v>
          </cell>
          <cell r="Q261" t="str">
            <v>KAB. BONDOWOSO</v>
          </cell>
          <cell r="R261" t="str">
            <v>SDS</v>
          </cell>
        </row>
        <row r="262">
          <cell r="D262" t="str">
            <v>F0B5</v>
          </cell>
          <cell r="E262" t="str">
            <v/>
          </cell>
          <cell r="F262" t="str">
            <v>BATAAN TENGGARANG</v>
          </cell>
          <cell r="G262" t="str">
            <v>F</v>
          </cell>
          <cell r="H262">
            <v>44678</v>
          </cell>
          <cell r="I262" t="str">
            <v xml:space="preserve">STANDARD </v>
          </cell>
          <cell r="J262">
            <v>2005008004</v>
          </cell>
          <cell r="K262" t="str">
            <v>JOKO DWI PRASETYO</v>
          </cell>
          <cell r="L262" t="str">
            <v>JDP</v>
          </cell>
          <cell r="M262">
            <v>2015579915</v>
          </cell>
          <cell r="N262" t="str">
            <v>VINCENTIUS AARON PARAMAWISESA HERINA</v>
          </cell>
          <cell r="O262" t="str">
            <v>VAR</v>
          </cell>
          <cell r="P262" t="str">
            <v>idF0B5@jbr.indomaret.co.id</v>
          </cell>
          <cell r="Q262" t="str">
            <v>KAB. BONDOWOSO</v>
          </cell>
          <cell r="R262" t="str">
            <v>SDS</v>
          </cell>
        </row>
        <row r="263">
          <cell r="D263" t="str">
            <v>FHZ2</v>
          </cell>
          <cell r="E263" t="str">
            <v/>
          </cell>
          <cell r="F263" t="str">
            <v>SUMBER WRINGIN - BDO</v>
          </cell>
          <cell r="G263" t="str">
            <v>F</v>
          </cell>
          <cell r="H263">
            <v>45868</v>
          </cell>
          <cell r="I263" t="str">
            <v xml:space="preserve">STANDARD </v>
          </cell>
          <cell r="J263">
            <v>2005008004</v>
          </cell>
          <cell r="K263" t="str">
            <v>JOKO DWI PRASETYO</v>
          </cell>
          <cell r="L263" t="str">
            <v>JDP</v>
          </cell>
          <cell r="M263">
            <v>2015579915</v>
          </cell>
          <cell r="N263" t="str">
            <v>VINCENTIUS AARON PARAMAWISESA HERINA</v>
          </cell>
          <cell r="O263" t="str">
            <v>VAR</v>
          </cell>
          <cell r="P263" t="str">
            <v>idFHZ2@jbr.indomaret.co.id</v>
          </cell>
          <cell r="Q263" t="str">
            <v>KAB. BONDOWOSO</v>
          </cell>
          <cell r="R263" t="str">
            <v>SDS</v>
          </cell>
        </row>
        <row r="264">
          <cell r="D264" t="str">
            <v>FJOU</v>
          </cell>
          <cell r="E264" t="str">
            <v>TR40</v>
          </cell>
          <cell r="F264" t="str">
            <v>CINDOGO - BONDOWOSO</v>
          </cell>
          <cell r="G264" t="str">
            <v>F</v>
          </cell>
          <cell r="H264">
            <v>45566</v>
          </cell>
          <cell r="I264" t="str">
            <v xml:space="preserve">STANDARD </v>
          </cell>
          <cell r="J264">
            <v>2005008004</v>
          </cell>
          <cell r="K264" t="str">
            <v>JOKO DWI PRASETYO</v>
          </cell>
          <cell r="L264" t="str">
            <v>JDP</v>
          </cell>
          <cell r="M264">
            <v>2015579915</v>
          </cell>
          <cell r="N264" t="str">
            <v>VINCENTIUS AARON PARAMAWISESA HERINA</v>
          </cell>
          <cell r="O264" t="str">
            <v>VAR</v>
          </cell>
          <cell r="P264" t="str">
            <v>idFJOU@jbr.indomaret.co.id</v>
          </cell>
          <cell r="Q264" t="str">
            <v>KAB. BONDOWOSO</v>
          </cell>
          <cell r="R264" t="str">
            <v>SDS</v>
          </cell>
        </row>
        <row r="265">
          <cell r="D265" t="str">
            <v>FZEM</v>
          </cell>
          <cell r="E265" t="str">
            <v>TRVV</v>
          </cell>
          <cell r="F265" t="str">
            <v>KAWAH IJEN</v>
          </cell>
          <cell r="G265" t="str">
            <v>F</v>
          </cell>
          <cell r="H265">
            <v>44866</v>
          </cell>
          <cell r="I265" t="str">
            <v xml:space="preserve">STANDARD </v>
          </cell>
          <cell r="J265">
            <v>2005008004</v>
          </cell>
          <cell r="K265" t="str">
            <v>JOKO DWI PRASETYO</v>
          </cell>
          <cell r="L265" t="str">
            <v>JDP</v>
          </cell>
          <cell r="M265">
            <v>2015579915</v>
          </cell>
          <cell r="N265" t="str">
            <v>VINCENTIUS AARON PARAMAWISESA HERINA</v>
          </cell>
          <cell r="O265" t="str">
            <v>VAR</v>
          </cell>
          <cell r="P265" t="str">
            <v>idFZEM@jbr.indomaret.co.id</v>
          </cell>
          <cell r="Q265" t="str">
            <v>KAB. BONDOWOSO</v>
          </cell>
          <cell r="R265" t="str">
            <v>SDS</v>
          </cell>
        </row>
        <row r="266">
          <cell r="D266" t="str">
            <v>T2D2</v>
          </cell>
          <cell r="E266"/>
          <cell r="F266" t="str">
            <v>RAYA SITUBONDO TAPEN</v>
          </cell>
          <cell r="G266" t="str">
            <v>R</v>
          </cell>
          <cell r="H266">
            <v>46020</v>
          </cell>
          <cell r="I266" t="str">
            <v xml:space="preserve">STANDARD </v>
          </cell>
          <cell r="J266">
            <v>2005008004</v>
          </cell>
          <cell r="K266" t="str">
            <v>JOKO DWI PRASETYO</v>
          </cell>
          <cell r="L266" t="str">
            <v>JDP</v>
          </cell>
          <cell r="M266">
            <v>2015579915</v>
          </cell>
          <cell r="N266" t="str">
            <v>VINCENTIUS AARON PARAMAWISESA HERINA</v>
          </cell>
          <cell r="O266" t="str">
            <v>VAR</v>
          </cell>
          <cell r="P266" t="str">
            <v>idmT2D2@jbr.indomaret.co.id</v>
          </cell>
          <cell r="Q266" t="str">
            <v>KAB. BONDOWOSO</v>
          </cell>
          <cell r="R266" t="str">
            <v>SDS</v>
          </cell>
        </row>
        <row r="267">
          <cell r="D267" t="str">
            <v>TF08</v>
          </cell>
          <cell r="E267" t="str">
            <v/>
          </cell>
          <cell r="F267" t="str">
            <v>WONOSARI</v>
          </cell>
          <cell r="G267" t="str">
            <v>R</v>
          </cell>
          <cell r="H267">
            <v>38546</v>
          </cell>
          <cell r="I267" t="str">
            <v>STANDARD NEW</v>
          </cell>
          <cell r="J267">
            <v>2005008004</v>
          </cell>
          <cell r="K267" t="str">
            <v>JOKO DWI PRASETYO</v>
          </cell>
          <cell r="L267" t="str">
            <v>JDP</v>
          </cell>
          <cell r="M267">
            <v>2015579915</v>
          </cell>
          <cell r="N267" t="str">
            <v>VINCENTIUS AARON PARAMAWISESA HERINA</v>
          </cell>
          <cell r="O267" t="str">
            <v>VAR</v>
          </cell>
          <cell r="P267" t="str">
            <v>idmTF08@jbr.indomaret.co.id</v>
          </cell>
          <cell r="Q267" t="str">
            <v>KAB. BONDOWOSO</v>
          </cell>
          <cell r="R267" t="str">
            <v>SDN</v>
          </cell>
        </row>
        <row r="268">
          <cell r="D268" t="str">
            <v>THI3</v>
          </cell>
          <cell r="E268" t="str">
            <v/>
          </cell>
          <cell r="F268" t="str">
            <v>RAYA LOMBOK WETAN</v>
          </cell>
          <cell r="G268" t="str">
            <v>R</v>
          </cell>
          <cell r="H268">
            <v>45176</v>
          </cell>
          <cell r="I268" t="str">
            <v xml:space="preserve">STANDARD </v>
          </cell>
          <cell r="J268">
            <v>2005008004</v>
          </cell>
          <cell r="K268" t="str">
            <v>JOKO DWI PRASETYO</v>
          </cell>
          <cell r="L268" t="str">
            <v>JDP</v>
          </cell>
          <cell r="M268">
            <v>2015579915</v>
          </cell>
          <cell r="N268" t="str">
            <v>VINCENTIUS AARON PARAMAWISESA HERINA</v>
          </cell>
          <cell r="O268" t="str">
            <v>VAR</v>
          </cell>
          <cell r="P268" t="str">
            <v>idmTHI3@jbr.indomaret.co.id</v>
          </cell>
          <cell r="Q268" t="str">
            <v>KAB. BONDOWOSO</v>
          </cell>
          <cell r="R268" t="str">
            <v>SDS</v>
          </cell>
        </row>
        <row r="269">
          <cell r="D269" t="str">
            <v>TJJK</v>
          </cell>
          <cell r="E269" t="str">
            <v/>
          </cell>
          <cell r="F269" t="str">
            <v>KELABANG - BONDOWOSO</v>
          </cell>
          <cell r="G269" t="str">
            <v>R</v>
          </cell>
          <cell r="H269">
            <v>41627</v>
          </cell>
          <cell r="I269" t="str">
            <v xml:space="preserve">STANDARD </v>
          </cell>
          <cell r="J269">
            <v>2005008004</v>
          </cell>
          <cell r="K269" t="str">
            <v>JOKO DWI PRASETYO</v>
          </cell>
          <cell r="L269" t="str">
            <v>JDP</v>
          </cell>
          <cell r="M269">
            <v>2015579915</v>
          </cell>
          <cell r="N269" t="str">
            <v>VINCENTIUS AARON PARAMAWISESA HERINA</v>
          </cell>
          <cell r="O269" t="str">
            <v>VAR</v>
          </cell>
          <cell r="P269" t="str">
            <v>idmTJJK@jbr.indomaret.co.id</v>
          </cell>
          <cell r="Q269" t="str">
            <v>KAB. BONDOWOSO</v>
          </cell>
          <cell r="R269" t="str">
            <v>SDS</v>
          </cell>
        </row>
        <row r="270">
          <cell r="D270" t="str">
            <v>TKY3</v>
          </cell>
          <cell r="E270" t="str">
            <v/>
          </cell>
          <cell r="F270" t="str">
            <v>TRAKTAKAN BONDOWOSO</v>
          </cell>
          <cell r="G270" t="str">
            <v>R</v>
          </cell>
          <cell r="H270">
            <v>44205</v>
          </cell>
          <cell r="I270" t="str">
            <v xml:space="preserve">STANDARD </v>
          </cell>
          <cell r="J270">
            <v>2005008004</v>
          </cell>
          <cell r="K270" t="str">
            <v>JOKO DWI PRASETYO</v>
          </cell>
          <cell r="L270" t="str">
            <v>JDP</v>
          </cell>
          <cell r="M270">
            <v>2015579915</v>
          </cell>
          <cell r="N270" t="str">
            <v>VINCENTIUS AARON PARAMAWISESA HERINA</v>
          </cell>
          <cell r="O270" t="str">
            <v>VAR</v>
          </cell>
          <cell r="P270" t="str">
            <v>idmTKY3@jbr.indomaret.co.id</v>
          </cell>
          <cell r="Q270" t="str">
            <v>KAB. BONDOWOSO</v>
          </cell>
          <cell r="R270" t="str">
            <v>SDS</v>
          </cell>
        </row>
        <row r="271">
          <cell r="D271" t="str">
            <v>TPIJ</v>
          </cell>
          <cell r="E271" t="str">
            <v/>
          </cell>
          <cell r="F271" t="str">
            <v>KAPURAN BDO</v>
          </cell>
          <cell r="G271" t="str">
            <v>R</v>
          </cell>
          <cell r="H271">
            <v>41698</v>
          </cell>
          <cell r="I271" t="str">
            <v xml:space="preserve">STANDARD </v>
          </cell>
          <cell r="J271">
            <v>2005008004</v>
          </cell>
          <cell r="K271" t="str">
            <v>JOKO DWI PRASETYO</v>
          </cell>
          <cell r="L271" t="str">
            <v>JDP</v>
          </cell>
          <cell r="M271">
            <v>2015579915</v>
          </cell>
          <cell r="N271" t="str">
            <v>VINCENTIUS AARON PARAMAWISESA HERINA</v>
          </cell>
          <cell r="O271" t="str">
            <v>VAR</v>
          </cell>
          <cell r="P271" t="str">
            <v>idmTPIJ@jbr.indomaret.co.id</v>
          </cell>
          <cell r="Q271" t="str">
            <v>KAB. BONDOWOSO</v>
          </cell>
          <cell r="R271" t="str">
            <v>SDS</v>
          </cell>
        </row>
        <row r="272">
          <cell r="D272" t="str">
            <v>TS59</v>
          </cell>
          <cell r="E272" t="str">
            <v/>
          </cell>
          <cell r="F272" t="str">
            <v>TENGGARANG BONDOWOSO</v>
          </cell>
          <cell r="G272" t="str">
            <v>R</v>
          </cell>
          <cell r="H272">
            <v>40719</v>
          </cell>
          <cell r="I272" t="str">
            <v xml:space="preserve">STANDARD </v>
          </cell>
          <cell r="J272">
            <v>2005008004</v>
          </cell>
          <cell r="K272" t="str">
            <v>JOKO DWI PRASETYO</v>
          </cell>
          <cell r="L272" t="str">
            <v>JDP</v>
          </cell>
          <cell r="M272">
            <v>2015579915</v>
          </cell>
          <cell r="N272" t="str">
            <v>VINCENTIUS AARON PARAMAWISESA HERINA</v>
          </cell>
          <cell r="O272" t="str">
            <v>VAR</v>
          </cell>
          <cell r="P272" t="str">
            <v>idmTS59@jbr.indomaret.co.id</v>
          </cell>
          <cell r="Q272" t="str">
            <v>KAB. BONDOWOSO</v>
          </cell>
          <cell r="R272" t="str">
            <v>SDS</v>
          </cell>
        </row>
        <row r="273">
          <cell r="D273" t="str">
            <v>F0BU</v>
          </cell>
          <cell r="E273" t="str">
            <v/>
          </cell>
          <cell r="F273" t="str">
            <v>DIPONEGORO 25</v>
          </cell>
          <cell r="G273" t="str">
            <v>F</v>
          </cell>
          <cell r="H273">
            <v>45100</v>
          </cell>
          <cell r="I273" t="str">
            <v xml:space="preserve">STANDARD </v>
          </cell>
          <cell r="J273">
            <v>2004002687</v>
          </cell>
          <cell r="K273" t="str">
            <v>KHOIRUL ANAM</v>
          </cell>
          <cell r="L273" t="str">
            <v>KAM</v>
          </cell>
          <cell r="M273">
            <v>2013058345</v>
          </cell>
          <cell r="N273" t="str">
            <v>AGUS SAPUTRA</v>
          </cell>
          <cell r="O273" t="str">
            <v>AGA</v>
          </cell>
          <cell r="P273" t="str">
            <v>idF0BU@jbr.indomaret.co.id</v>
          </cell>
          <cell r="Q273" t="str">
            <v>KAB. JEMBER</v>
          </cell>
          <cell r="R273" t="str">
            <v>SDS</v>
          </cell>
        </row>
        <row r="274">
          <cell r="D274" t="str">
            <v>FCSR</v>
          </cell>
          <cell r="E274" t="str">
            <v>TPEG</v>
          </cell>
          <cell r="F274" t="str">
            <v>MUNDUREJO - JEMBER</v>
          </cell>
          <cell r="G274" t="str">
            <v>F</v>
          </cell>
          <cell r="H274">
            <v>44197</v>
          </cell>
          <cell r="I274" t="str">
            <v xml:space="preserve">STANDARD </v>
          </cell>
          <cell r="J274">
            <v>2004002687</v>
          </cell>
          <cell r="K274" t="str">
            <v>KHOIRUL ANAM</v>
          </cell>
          <cell r="L274" t="str">
            <v>KAM</v>
          </cell>
          <cell r="M274">
            <v>2013058345</v>
          </cell>
          <cell r="N274" t="str">
            <v>AGUS SAPUTRA</v>
          </cell>
          <cell r="O274" t="str">
            <v>AGA</v>
          </cell>
          <cell r="P274" t="str">
            <v>idFCSR@jbr.indomaret.co.id</v>
          </cell>
          <cell r="Q274" t="str">
            <v>KAB. JEMBER</v>
          </cell>
          <cell r="R274" t="str">
            <v>SDS</v>
          </cell>
        </row>
        <row r="275">
          <cell r="D275" t="str">
            <v>FNBN</v>
          </cell>
          <cell r="E275" t="str">
            <v>FUCE</v>
          </cell>
          <cell r="F275" t="str">
            <v>PUGER 11</v>
          </cell>
          <cell r="G275" t="str">
            <v>F</v>
          </cell>
          <cell r="H275">
            <v>45444</v>
          </cell>
          <cell r="I275" t="str">
            <v xml:space="preserve">STANDARD </v>
          </cell>
          <cell r="J275">
            <v>2004002687</v>
          </cell>
          <cell r="K275" t="str">
            <v>KHOIRUL ANAM</v>
          </cell>
          <cell r="L275" t="str">
            <v>KAM</v>
          </cell>
          <cell r="M275">
            <v>2013058345</v>
          </cell>
          <cell r="N275" t="str">
            <v>AGUS SAPUTRA</v>
          </cell>
          <cell r="O275" t="str">
            <v>AGA</v>
          </cell>
          <cell r="P275" t="str">
            <v>idFNBN@jbr.indomaret.co.id</v>
          </cell>
          <cell r="Q275" t="str">
            <v>KAB. JEMBER</v>
          </cell>
          <cell r="R275" t="str">
            <v>SDS</v>
          </cell>
        </row>
        <row r="276">
          <cell r="D276" t="str">
            <v>T0PO</v>
          </cell>
          <cell r="E276" t="str">
            <v/>
          </cell>
          <cell r="F276" t="str">
            <v>KRAKATAU 143 JBR</v>
          </cell>
          <cell r="G276" t="str">
            <v>R</v>
          </cell>
          <cell r="H276">
            <v>41709</v>
          </cell>
          <cell r="I276" t="str">
            <v xml:space="preserve">STANDARD </v>
          </cell>
          <cell r="J276">
            <v>2004002687</v>
          </cell>
          <cell r="K276" t="str">
            <v>KHOIRUL ANAM</v>
          </cell>
          <cell r="L276" t="str">
            <v>KAM</v>
          </cell>
          <cell r="M276">
            <v>2013058345</v>
          </cell>
          <cell r="N276" t="str">
            <v>AGUS SAPUTRA</v>
          </cell>
          <cell r="O276" t="str">
            <v>AGA</v>
          </cell>
          <cell r="P276" t="str">
            <v>idmT0PO@jbr.indomaret.co.id</v>
          </cell>
          <cell r="Q276" t="str">
            <v>KAB. JEMBER</v>
          </cell>
          <cell r="R276" t="str">
            <v>SDS</v>
          </cell>
        </row>
        <row r="277">
          <cell r="D277" t="str">
            <v>T1VK</v>
          </cell>
          <cell r="E277" t="str">
            <v>FDSP</v>
          </cell>
          <cell r="F277" t="str">
            <v>AHMAD YANI  PUGER  - JBR</v>
          </cell>
          <cell r="G277" t="str">
            <v>R</v>
          </cell>
          <cell r="H277">
            <v>43344</v>
          </cell>
          <cell r="I277" t="str">
            <v>STANDARD NEW</v>
          </cell>
          <cell r="J277">
            <v>2004002687</v>
          </cell>
          <cell r="K277" t="str">
            <v>KHOIRUL ANAM</v>
          </cell>
          <cell r="L277" t="str">
            <v>KAM</v>
          </cell>
          <cell r="M277">
            <v>2013058345</v>
          </cell>
          <cell r="N277" t="str">
            <v>AGUS SAPUTRA</v>
          </cell>
          <cell r="O277" t="str">
            <v>AGA</v>
          </cell>
          <cell r="P277" t="str">
            <v>idmT1VK@jbr.indomaret.co.id</v>
          </cell>
          <cell r="Q277" t="str">
            <v>KAB. JEMBER</v>
          </cell>
          <cell r="R277" t="str">
            <v>SDN</v>
          </cell>
        </row>
        <row r="278">
          <cell r="D278" t="str">
            <v>T3DS</v>
          </cell>
          <cell r="E278" t="str">
            <v/>
          </cell>
          <cell r="F278" t="str">
            <v>MENAMPU - JBR</v>
          </cell>
          <cell r="G278" t="str">
            <v>R</v>
          </cell>
          <cell r="H278">
            <v>40936</v>
          </cell>
          <cell r="I278" t="str">
            <v xml:space="preserve">STANDARD </v>
          </cell>
          <cell r="J278">
            <v>2004002687</v>
          </cell>
          <cell r="K278" t="str">
            <v>KHOIRUL ANAM</v>
          </cell>
          <cell r="L278" t="str">
            <v>KAM</v>
          </cell>
          <cell r="M278">
            <v>2013058345</v>
          </cell>
          <cell r="N278" t="str">
            <v>AGUS SAPUTRA</v>
          </cell>
          <cell r="O278" t="str">
            <v>AGA</v>
          </cell>
          <cell r="P278" t="str">
            <v>idmT3DS@jbr.indomaret.co.id</v>
          </cell>
          <cell r="Q278" t="str">
            <v>KAB. JEMBER</v>
          </cell>
          <cell r="R278" t="str">
            <v>SDS</v>
          </cell>
        </row>
        <row r="279">
          <cell r="D279" t="str">
            <v>T5EN</v>
          </cell>
          <cell r="E279" t="str">
            <v/>
          </cell>
          <cell r="F279" t="str">
            <v>RAYA PADOMASAN - JBR</v>
          </cell>
          <cell r="G279" t="str">
            <v>R</v>
          </cell>
          <cell r="H279">
            <v>40900</v>
          </cell>
          <cell r="I279" t="str">
            <v xml:space="preserve">STANDARD </v>
          </cell>
          <cell r="J279">
            <v>2004002687</v>
          </cell>
          <cell r="K279" t="str">
            <v>KHOIRUL ANAM</v>
          </cell>
          <cell r="L279" t="str">
            <v>KAM</v>
          </cell>
          <cell r="M279">
            <v>2013058345</v>
          </cell>
          <cell r="N279" t="str">
            <v>AGUS SAPUTRA</v>
          </cell>
          <cell r="O279" t="str">
            <v>AGA</v>
          </cell>
          <cell r="P279" t="str">
            <v>idmT5EN@jbr.indomaret.co.id</v>
          </cell>
          <cell r="Q279" t="str">
            <v>KAB. JEMBER</v>
          </cell>
          <cell r="R279" t="str">
            <v>SDS</v>
          </cell>
        </row>
        <row r="280">
          <cell r="D280" t="str">
            <v>TAUV</v>
          </cell>
          <cell r="E280" t="str">
            <v>F650</v>
          </cell>
          <cell r="F280" t="str">
            <v>PUGER</v>
          </cell>
          <cell r="G280" t="str">
            <v>R</v>
          </cell>
          <cell r="H280">
            <v>42675</v>
          </cell>
          <cell r="I280" t="str">
            <v xml:space="preserve">STANDARD </v>
          </cell>
          <cell r="J280">
            <v>2004002687</v>
          </cell>
          <cell r="K280" t="str">
            <v>KHOIRUL ANAM</v>
          </cell>
          <cell r="L280" t="str">
            <v>KAM</v>
          </cell>
          <cell r="M280">
            <v>2013058345</v>
          </cell>
          <cell r="N280" t="str">
            <v>AGUS SAPUTRA</v>
          </cell>
          <cell r="O280" t="str">
            <v>AGA</v>
          </cell>
          <cell r="P280" t="str">
            <v>idmTAUV@jbr.indomaret.co.id</v>
          </cell>
          <cell r="Q280" t="str">
            <v>KAB. JEMBER</v>
          </cell>
          <cell r="R280" t="str">
            <v>SDS</v>
          </cell>
        </row>
        <row r="281">
          <cell r="D281" t="str">
            <v>TESL</v>
          </cell>
          <cell r="E281" t="str">
            <v/>
          </cell>
          <cell r="F281" t="str">
            <v>A YANI 99</v>
          </cell>
          <cell r="G281" t="str">
            <v>R</v>
          </cell>
          <cell r="H281">
            <v>45504</v>
          </cell>
          <cell r="I281" t="str">
            <v xml:space="preserve">STANDARD </v>
          </cell>
          <cell r="J281">
            <v>2004002687</v>
          </cell>
          <cell r="K281" t="str">
            <v>KHOIRUL ANAM</v>
          </cell>
          <cell r="L281" t="str">
            <v>KAM</v>
          </cell>
          <cell r="M281">
            <v>2013058345</v>
          </cell>
          <cell r="N281" t="str">
            <v>AGUS SAPUTRA</v>
          </cell>
          <cell r="O281" t="str">
            <v>AGA</v>
          </cell>
          <cell r="P281" t="str">
            <v>idmTESL@jbr.indomaret.co.id</v>
          </cell>
          <cell r="Q281" t="str">
            <v>KAB. JEMBER</v>
          </cell>
          <cell r="R281" t="str">
            <v>SDS</v>
          </cell>
        </row>
        <row r="282">
          <cell r="D282" t="str">
            <v>TIHO</v>
          </cell>
          <cell r="E282" t="str">
            <v/>
          </cell>
          <cell r="F282" t="str">
            <v>WONOREJO - JEMBER</v>
          </cell>
          <cell r="G282" t="str">
            <v>R</v>
          </cell>
          <cell r="H282">
            <v>41027</v>
          </cell>
          <cell r="I282" t="str">
            <v>STANDARD NEW</v>
          </cell>
          <cell r="J282">
            <v>2004002687</v>
          </cell>
          <cell r="K282" t="str">
            <v>KHOIRUL ANAM</v>
          </cell>
          <cell r="L282" t="str">
            <v>KAM</v>
          </cell>
          <cell r="M282">
            <v>2013058345</v>
          </cell>
          <cell r="N282" t="str">
            <v>AGUS SAPUTRA</v>
          </cell>
          <cell r="O282" t="str">
            <v>AGA</v>
          </cell>
          <cell r="P282" t="str">
            <v>idmTIHO@jbr.indomaret.co.id</v>
          </cell>
          <cell r="Q282" t="str">
            <v>KAB. JEMBER</v>
          </cell>
          <cell r="R282" t="str">
            <v>SDN</v>
          </cell>
        </row>
        <row r="283">
          <cell r="D283" t="str">
            <v>TNDX</v>
          </cell>
          <cell r="E283" t="str">
            <v>FPX8</v>
          </cell>
          <cell r="F283" t="str">
            <v>BASUKI RAHMAT KASIYAN JEMBER</v>
          </cell>
          <cell r="G283" t="str">
            <v>R</v>
          </cell>
          <cell r="H283">
            <v>43132</v>
          </cell>
          <cell r="I283" t="str">
            <v xml:space="preserve">STANDARD </v>
          </cell>
          <cell r="J283">
            <v>2004002687</v>
          </cell>
          <cell r="K283" t="str">
            <v>KHOIRUL ANAM</v>
          </cell>
          <cell r="L283" t="str">
            <v>KAM</v>
          </cell>
          <cell r="M283">
            <v>2013058345</v>
          </cell>
          <cell r="N283" t="str">
            <v>AGUS SAPUTRA</v>
          </cell>
          <cell r="O283" t="str">
            <v>AGA</v>
          </cell>
          <cell r="P283" t="str">
            <v>idmTNDX@jbr.indomaret.co.id</v>
          </cell>
          <cell r="Q283" t="str">
            <v>KAB. JEMBER</v>
          </cell>
          <cell r="R283" t="str">
            <v>SDS</v>
          </cell>
        </row>
        <row r="284">
          <cell r="D284" t="str">
            <v>TRST</v>
          </cell>
          <cell r="E284" t="str">
            <v>F5CB</v>
          </cell>
          <cell r="F284" t="str">
            <v>UMBULSARI</v>
          </cell>
          <cell r="G284" t="str">
            <v>R</v>
          </cell>
          <cell r="H284">
            <v>42917</v>
          </cell>
          <cell r="I284" t="str">
            <v xml:space="preserve">STANDARD </v>
          </cell>
          <cell r="J284">
            <v>2004002687</v>
          </cell>
          <cell r="K284" t="str">
            <v>KHOIRUL ANAM</v>
          </cell>
          <cell r="L284" t="str">
            <v>KAM</v>
          </cell>
          <cell r="M284">
            <v>2013058345</v>
          </cell>
          <cell r="N284" t="str">
            <v>AGUS SAPUTRA</v>
          </cell>
          <cell r="O284" t="str">
            <v>AGA</v>
          </cell>
          <cell r="P284" t="str">
            <v>idmTRST@jbr.indomaret.co.id</v>
          </cell>
          <cell r="Q284" t="str">
            <v>KAB. JEMBER</v>
          </cell>
          <cell r="R284" t="str">
            <v>SDS</v>
          </cell>
        </row>
        <row r="285">
          <cell r="D285" t="str">
            <v>TRSU</v>
          </cell>
          <cell r="E285" t="str">
            <v>F27Q</v>
          </cell>
          <cell r="F285" t="str">
            <v>GUMUK MAS</v>
          </cell>
          <cell r="G285" t="str">
            <v>R</v>
          </cell>
          <cell r="H285">
            <v>42491</v>
          </cell>
          <cell r="I285" t="str">
            <v xml:space="preserve">STANDARD </v>
          </cell>
          <cell r="J285">
            <v>2004002687</v>
          </cell>
          <cell r="K285" t="str">
            <v>KHOIRUL ANAM</v>
          </cell>
          <cell r="L285" t="str">
            <v>KAM</v>
          </cell>
          <cell r="M285">
            <v>2013058345</v>
          </cell>
          <cell r="N285" t="str">
            <v>AGUS SAPUTRA</v>
          </cell>
          <cell r="O285" t="str">
            <v>AGA</v>
          </cell>
          <cell r="P285" t="str">
            <v>idmTRSU@jbr.indomaret.co.id</v>
          </cell>
          <cell r="Q285" t="str">
            <v>KAB. JEMBER</v>
          </cell>
          <cell r="R285" t="str">
            <v>SDS</v>
          </cell>
        </row>
        <row r="286">
          <cell r="D286" t="str">
            <v>F4NK</v>
          </cell>
          <cell r="E286" t="str">
            <v/>
          </cell>
          <cell r="F286" t="str">
            <v>MERLION PARK</v>
          </cell>
          <cell r="G286" t="str">
            <v>F</v>
          </cell>
          <cell r="H286">
            <v>45894</v>
          </cell>
          <cell r="I286" t="str">
            <v xml:space="preserve">STANDARD </v>
          </cell>
          <cell r="J286">
            <v>2004002687</v>
          </cell>
          <cell r="K286" t="str">
            <v>KHOIRUL ANAM</v>
          </cell>
          <cell r="L286" t="str">
            <v>KAM</v>
          </cell>
          <cell r="M286">
            <v>2012079583</v>
          </cell>
          <cell r="N286" t="str">
            <v>BAWON SYARONI</v>
          </cell>
          <cell r="O286" t="str">
            <v>BWN</v>
          </cell>
          <cell r="P286" t="str">
            <v>idF4NK@jbr.indomaret.co.id</v>
          </cell>
          <cell r="Q286" t="str">
            <v>KAB. LUMAJANG</v>
          </cell>
          <cell r="R286" t="str">
            <v>SDS</v>
          </cell>
        </row>
        <row r="287">
          <cell r="D287" t="str">
            <v>FFXV</v>
          </cell>
          <cell r="E287"/>
          <cell r="F287" t="str">
            <v>MAYOR KAMARI SAMPURNO</v>
          </cell>
          <cell r="G287" t="str">
            <v>F</v>
          </cell>
          <cell r="H287">
            <v>46078</v>
          </cell>
          <cell r="I287" t="str">
            <v xml:space="preserve">STANDARD </v>
          </cell>
          <cell r="J287">
            <v>2004002687</v>
          </cell>
          <cell r="K287" t="str">
            <v>KHOIRUL ANAM</v>
          </cell>
          <cell r="L287" t="str">
            <v>KAM</v>
          </cell>
          <cell r="M287">
            <v>2012079583</v>
          </cell>
          <cell r="N287" t="str">
            <v>BAWON SYARONI</v>
          </cell>
          <cell r="O287" t="str">
            <v>BWN</v>
          </cell>
          <cell r="P287" t="str">
            <v>idFFXV@jbr.indomaret.co.id</v>
          </cell>
          <cell r="Q287" t="str">
            <v>KAB. LUMAJANG</v>
          </cell>
          <cell r="R287" t="str">
            <v>SDS</v>
          </cell>
        </row>
        <row r="288">
          <cell r="D288" t="str">
            <v>FSEA</v>
          </cell>
          <cell r="E288" t="str">
            <v>T79T</v>
          </cell>
          <cell r="F288" t="str">
            <v>TUKUM LUMAJANG</v>
          </cell>
          <cell r="G288" t="str">
            <v>F</v>
          </cell>
          <cell r="H288">
            <v>44986</v>
          </cell>
          <cell r="I288" t="str">
            <v xml:space="preserve">STANDARD </v>
          </cell>
          <cell r="J288">
            <v>2004002687</v>
          </cell>
          <cell r="K288" t="str">
            <v>KHOIRUL ANAM</v>
          </cell>
          <cell r="L288" t="str">
            <v>KAM</v>
          </cell>
          <cell r="M288">
            <v>2012079583</v>
          </cell>
          <cell r="N288" t="str">
            <v>BAWON SYARONI</v>
          </cell>
          <cell r="O288" t="str">
            <v>BWN</v>
          </cell>
          <cell r="P288" t="str">
            <v>idFSEA@jbr.indomaret.co.id</v>
          </cell>
          <cell r="Q288" t="str">
            <v>KAB. LUMAJANG</v>
          </cell>
          <cell r="R288" t="str">
            <v>SDS</v>
          </cell>
        </row>
        <row r="289">
          <cell r="D289" t="str">
            <v>FZXK</v>
          </cell>
          <cell r="E289" t="str">
            <v/>
          </cell>
          <cell r="F289" t="str">
            <v>A. YANI FRC</v>
          </cell>
          <cell r="G289" t="str">
            <v>F</v>
          </cell>
          <cell r="H289">
            <v>45055</v>
          </cell>
          <cell r="I289" t="str">
            <v>STANDARD NEW</v>
          </cell>
          <cell r="J289">
            <v>2004002687</v>
          </cell>
          <cell r="K289" t="str">
            <v>KHOIRUL ANAM</v>
          </cell>
          <cell r="L289" t="str">
            <v>KAM</v>
          </cell>
          <cell r="M289">
            <v>2012079583</v>
          </cell>
          <cell r="N289" t="str">
            <v>BAWON SYARONI</v>
          </cell>
          <cell r="O289" t="str">
            <v>BWN</v>
          </cell>
          <cell r="P289" t="str">
            <v>idFZXK@jbr.indomaret.co.id</v>
          </cell>
          <cell r="Q289" t="str">
            <v>KAB. LUMAJANG</v>
          </cell>
          <cell r="R289" t="str">
            <v>SDN</v>
          </cell>
        </row>
        <row r="290">
          <cell r="D290" t="str">
            <v>TAQH</v>
          </cell>
          <cell r="E290" t="str">
            <v/>
          </cell>
          <cell r="F290" t="str">
            <v>NOGOSARI ROWOKANGKUNG</v>
          </cell>
          <cell r="G290" t="str">
            <v>R</v>
          </cell>
          <cell r="H290">
            <v>43097</v>
          </cell>
          <cell r="I290" t="str">
            <v xml:space="preserve">STANDARD </v>
          </cell>
          <cell r="J290">
            <v>2004002687</v>
          </cell>
          <cell r="K290" t="str">
            <v>KHOIRUL ANAM</v>
          </cell>
          <cell r="L290" t="str">
            <v>KAM</v>
          </cell>
          <cell r="M290">
            <v>2012079583</v>
          </cell>
          <cell r="N290" t="str">
            <v>BAWON SYARONI</v>
          </cell>
          <cell r="O290" t="str">
            <v>BWN</v>
          </cell>
          <cell r="P290" t="str">
            <v>idmTAQH@jbr.indomaret.co.id</v>
          </cell>
          <cell r="Q290" t="str">
            <v>KAB. LUMAJANG</v>
          </cell>
          <cell r="R290" t="str">
            <v>SDS</v>
          </cell>
        </row>
        <row r="291">
          <cell r="D291" t="str">
            <v>TDST</v>
          </cell>
          <cell r="E291" t="str">
            <v/>
          </cell>
          <cell r="F291" t="str">
            <v>RAYA MUNDER</v>
          </cell>
          <cell r="G291" t="str">
            <v>R</v>
          </cell>
          <cell r="H291">
            <v>42612</v>
          </cell>
          <cell r="I291" t="str">
            <v xml:space="preserve">STANDARD </v>
          </cell>
          <cell r="J291">
            <v>2004002687</v>
          </cell>
          <cell r="K291" t="str">
            <v>KHOIRUL ANAM</v>
          </cell>
          <cell r="L291" t="str">
            <v>KAM</v>
          </cell>
          <cell r="M291">
            <v>2012079583</v>
          </cell>
          <cell r="N291" t="str">
            <v>BAWON SYARONI</v>
          </cell>
          <cell r="O291" t="str">
            <v>BWN</v>
          </cell>
          <cell r="P291" t="str">
            <v>idmTDST@jbr.indomaret.co.id</v>
          </cell>
          <cell r="Q291" t="str">
            <v>KAB. LUMAJANG</v>
          </cell>
          <cell r="R291" t="str">
            <v>SDS</v>
          </cell>
        </row>
        <row r="292">
          <cell r="D292" t="str">
            <v>TF72</v>
          </cell>
          <cell r="E292" t="str">
            <v/>
          </cell>
          <cell r="F292" t="str">
            <v>YOSOWILANGUN</v>
          </cell>
          <cell r="G292" t="str">
            <v>R</v>
          </cell>
          <cell r="H292">
            <v>38895</v>
          </cell>
          <cell r="I292" t="str">
            <v xml:space="preserve">STANDARD </v>
          </cell>
          <cell r="J292">
            <v>2004002687</v>
          </cell>
          <cell r="K292" t="str">
            <v>KHOIRUL ANAM</v>
          </cell>
          <cell r="L292" t="str">
            <v>KAM</v>
          </cell>
          <cell r="M292">
            <v>2012079583</v>
          </cell>
          <cell r="N292" t="str">
            <v>BAWON SYARONI</v>
          </cell>
          <cell r="O292" t="str">
            <v>BWN</v>
          </cell>
          <cell r="P292" t="str">
            <v>idmTF72@jbr.indomaret.co.id</v>
          </cell>
          <cell r="Q292" t="str">
            <v>KAB. LUMAJANG</v>
          </cell>
          <cell r="R292" t="str">
            <v>SDS</v>
          </cell>
        </row>
        <row r="293">
          <cell r="D293" t="str">
            <v>TGSC</v>
          </cell>
          <cell r="E293" t="str">
            <v/>
          </cell>
          <cell r="F293" t="str">
            <v>KARANGANYAR</v>
          </cell>
          <cell r="G293" t="str">
            <v>R</v>
          </cell>
          <cell r="H293">
            <v>43403</v>
          </cell>
          <cell r="I293" t="str">
            <v xml:space="preserve">STANDARD </v>
          </cell>
          <cell r="J293">
            <v>2004002687</v>
          </cell>
          <cell r="K293" t="str">
            <v>KHOIRUL ANAM</v>
          </cell>
          <cell r="L293" t="str">
            <v>KAM</v>
          </cell>
          <cell r="M293">
            <v>2012079583</v>
          </cell>
          <cell r="N293" t="str">
            <v>BAWON SYARONI</v>
          </cell>
          <cell r="O293" t="str">
            <v>BWN</v>
          </cell>
          <cell r="P293" t="str">
            <v>idmTGSC@jbr.indomaret.co.id</v>
          </cell>
          <cell r="Q293" t="str">
            <v>KAB. LUMAJANG</v>
          </cell>
          <cell r="R293" t="str">
            <v>SDS</v>
          </cell>
        </row>
        <row r="294">
          <cell r="D294" t="str">
            <v>TJDR</v>
          </cell>
          <cell r="E294" t="str">
            <v/>
          </cell>
          <cell r="F294" t="str">
            <v>KEBONSARI</v>
          </cell>
          <cell r="G294" t="str">
            <v>R</v>
          </cell>
          <cell r="H294">
            <v>42738</v>
          </cell>
          <cell r="I294" t="str">
            <v xml:space="preserve">STANDARD </v>
          </cell>
          <cell r="J294">
            <v>2004002687</v>
          </cell>
          <cell r="K294" t="str">
            <v>KHOIRUL ANAM</v>
          </cell>
          <cell r="L294" t="str">
            <v>KAM</v>
          </cell>
          <cell r="M294">
            <v>2012079583</v>
          </cell>
          <cell r="N294" t="str">
            <v>BAWON SYARONI</v>
          </cell>
          <cell r="O294" t="str">
            <v>BWN</v>
          </cell>
          <cell r="P294" t="str">
            <v>idmTJDR@jbr.indomaret.co.id</v>
          </cell>
          <cell r="Q294" t="str">
            <v>KAB. LUMAJANG</v>
          </cell>
          <cell r="R294" t="str">
            <v>SDS</v>
          </cell>
        </row>
        <row r="295">
          <cell r="D295" t="str">
            <v>TOI3</v>
          </cell>
          <cell r="E295" t="str">
            <v/>
          </cell>
          <cell r="F295" t="str">
            <v>RAYA TEKUNG</v>
          </cell>
          <cell r="G295" t="str">
            <v>R</v>
          </cell>
          <cell r="H295">
            <v>45805</v>
          </cell>
          <cell r="I295" t="str">
            <v xml:space="preserve">STANDARD </v>
          </cell>
          <cell r="J295">
            <v>2004002687</v>
          </cell>
          <cell r="K295" t="str">
            <v>KHOIRUL ANAM</v>
          </cell>
          <cell r="L295" t="str">
            <v>KAM</v>
          </cell>
          <cell r="M295">
            <v>2012079583</v>
          </cell>
          <cell r="N295" t="str">
            <v>BAWON SYARONI</v>
          </cell>
          <cell r="O295" t="str">
            <v>BWN</v>
          </cell>
          <cell r="P295" t="str">
            <v>idmTOI3@jbr.indomaret.co.id</v>
          </cell>
          <cell r="Q295" t="str">
            <v>KAB. LUMAJANG</v>
          </cell>
          <cell r="R295" t="str">
            <v>SDS</v>
          </cell>
        </row>
        <row r="296">
          <cell r="D296" t="str">
            <v>TOP7</v>
          </cell>
          <cell r="E296" t="str">
            <v/>
          </cell>
          <cell r="F296" t="str">
            <v>KALIPEPE</v>
          </cell>
          <cell r="G296" t="str">
            <v>R</v>
          </cell>
          <cell r="H296">
            <v>42727</v>
          </cell>
          <cell r="I296" t="str">
            <v xml:space="preserve">STANDARD </v>
          </cell>
          <cell r="J296">
            <v>2004002687</v>
          </cell>
          <cell r="K296" t="str">
            <v>KHOIRUL ANAM</v>
          </cell>
          <cell r="L296" t="str">
            <v>KAM</v>
          </cell>
          <cell r="M296">
            <v>2012079583</v>
          </cell>
          <cell r="N296" t="str">
            <v>BAWON SYARONI</v>
          </cell>
          <cell r="O296" t="str">
            <v>BWN</v>
          </cell>
          <cell r="P296" t="str">
            <v>idmTOP7@jbr.indomaret.co.id</v>
          </cell>
          <cell r="Q296" t="str">
            <v>KAB. LUMAJANG</v>
          </cell>
          <cell r="R296" t="str">
            <v>SDS</v>
          </cell>
        </row>
        <row r="297">
          <cell r="D297" t="str">
            <v>TP2L</v>
          </cell>
          <cell r="E297"/>
          <cell r="F297" t="str">
            <v>RAYA KARANGBENDO</v>
          </cell>
          <cell r="G297" t="str">
            <v>R</v>
          </cell>
          <cell r="H297">
            <v>46081</v>
          </cell>
          <cell r="I297" t="str">
            <v>STANDARD NEW</v>
          </cell>
          <cell r="J297">
            <v>2004002687</v>
          </cell>
          <cell r="K297" t="str">
            <v>KHOIRUL ANAM</v>
          </cell>
          <cell r="L297" t="str">
            <v>KAM</v>
          </cell>
          <cell r="M297">
            <v>2012079583</v>
          </cell>
          <cell r="N297" t="str">
            <v>BAWON SYARONI</v>
          </cell>
          <cell r="O297" t="str">
            <v>BWN</v>
          </cell>
          <cell r="P297" t="str">
            <v>idmTP2L@jbr.indomaret.co.id</v>
          </cell>
          <cell r="Q297" t="str">
            <v>KAB. LUMAJANG</v>
          </cell>
          <cell r="R297" t="str">
            <v>SDN</v>
          </cell>
        </row>
        <row r="298">
          <cell r="D298" t="str">
            <v>TSLM</v>
          </cell>
          <cell r="E298" t="str">
            <v/>
          </cell>
          <cell r="F298" t="str">
            <v>MAYJEN SUKARTIYO</v>
          </cell>
          <cell r="G298" t="str">
            <v>R</v>
          </cell>
          <cell r="H298">
            <v>42609</v>
          </cell>
          <cell r="I298" t="str">
            <v xml:space="preserve">STANDARD </v>
          </cell>
          <cell r="J298">
            <v>2004002687</v>
          </cell>
          <cell r="K298" t="str">
            <v>KHOIRUL ANAM</v>
          </cell>
          <cell r="L298" t="str">
            <v>KAM</v>
          </cell>
          <cell r="M298">
            <v>2012079583</v>
          </cell>
          <cell r="N298" t="str">
            <v>BAWON SYARONI</v>
          </cell>
          <cell r="O298" t="str">
            <v>BWN</v>
          </cell>
          <cell r="P298" t="str">
            <v>idmTSLM@jbr.indomaret.co.id</v>
          </cell>
          <cell r="Q298" t="str">
            <v>KAB. LUMAJANG</v>
          </cell>
          <cell r="R298" t="str">
            <v>SDS</v>
          </cell>
        </row>
        <row r="299">
          <cell r="D299" t="str">
            <v>F652</v>
          </cell>
          <cell r="E299" t="str">
            <v>T642</v>
          </cell>
          <cell r="F299" t="str">
            <v>BALUNG</v>
          </cell>
          <cell r="G299" t="str">
            <v>F</v>
          </cell>
          <cell r="H299">
            <v>44538</v>
          </cell>
          <cell r="I299" t="str">
            <v xml:space="preserve">STANDARD </v>
          </cell>
          <cell r="J299">
            <v>2004002687</v>
          </cell>
          <cell r="K299" t="str">
            <v>KHOIRUL ANAM</v>
          </cell>
          <cell r="L299" t="str">
            <v>KAM</v>
          </cell>
          <cell r="M299">
            <v>2008420165</v>
          </cell>
          <cell r="N299" t="str">
            <v>IQBAL ROJIB</v>
          </cell>
          <cell r="O299" t="str">
            <v>IRB</v>
          </cell>
          <cell r="P299" t="str">
            <v>idF652@jbr.indomaret.co.id</v>
          </cell>
          <cell r="Q299" t="str">
            <v>KAB. JEMBER</v>
          </cell>
          <cell r="R299" t="str">
            <v>SDS</v>
          </cell>
        </row>
        <row r="300">
          <cell r="D300" t="str">
            <v>FHHA</v>
          </cell>
          <cell r="E300" t="str">
            <v/>
          </cell>
          <cell r="F300" t="str">
            <v>RAYA BANGSALSARI</v>
          </cell>
          <cell r="G300" t="str">
            <v>F</v>
          </cell>
          <cell r="H300">
            <v>44773</v>
          </cell>
          <cell r="I300" t="str">
            <v xml:space="preserve">STANDARD </v>
          </cell>
          <cell r="J300">
            <v>2004002687</v>
          </cell>
          <cell r="K300" t="str">
            <v>KHOIRUL ANAM</v>
          </cell>
          <cell r="L300" t="str">
            <v>KAM</v>
          </cell>
          <cell r="M300">
            <v>2008420165</v>
          </cell>
          <cell r="N300" t="str">
            <v>IQBAL ROJIB</v>
          </cell>
          <cell r="O300" t="str">
            <v>IRB</v>
          </cell>
          <cell r="P300" t="str">
            <v>idFHHA@jbr.indomaret.co.id</v>
          </cell>
          <cell r="Q300" t="str">
            <v>KAB. JEMBER</v>
          </cell>
          <cell r="R300" t="str">
            <v>SDS</v>
          </cell>
        </row>
        <row r="301">
          <cell r="D301" t="str">
            <v>FLTP</v>
          </cell>
          <cell r="E301" t="str">
            <v>TF68</v>
          </cell>
          <cell r="F301" t="str">
            <v>RAMBIPUJI 2</v>
          </cell>
          <cell r="G301" t="str">
            <v>F</v>
          </cell>
          <cell r="H301">
            <v>44197</v>
          </cell>
          <cell r="I301" t="str">
            <v xml:space="preserve">STANDARD </v>
          </cell>
          <cell r="J301">
            <v>2004002687</v>
          </cell>
          <cell r="K301" t="str">
            <v>KHOIRUL ANAM</v>
          </cell>
          <cell r="L301" t="str">
            <v>KAM</v>
          </cell>
          <cell r="M301">
            <v>2008420165</v>
          </cell>
          <cell r="N301" t="str">
            <v>IQBAL ROJIB</v>
          </cell>
          <cell r="O301" t="str">
            <v>IRB</v>
          </cell>
          <cell r="P301" t="str">
            <v>idFLTP@jbr.indomaret.co.id</v>
          </cell>
          <cell r="Q301" t="str">
            <v>KAB. JEMBER</v>
          </cell>
          <cell r="R301" t="str">
            <v>SDS</v>
          </cell>
        </row>
        <row r="302">
          <cell r="D302" t="str">
            <v>FSIL</v>
          </cell>
          <cell r="E302" t="str">
            <v>TONQ</v>
          </cell>
          <cell r="F302" t="str">
            <v>PECORO</v>
          </cell>
          <cell r="G302" t="str">
            <v>F</v>
          </cell>
          <cell r="H302">
            <v>45505</v>
          </cell>
          <cell r="I302" t="str">
            <v xml:space="preserve">STANDARD </v>
          </cell>
          <cell r="J302">
            <v>2004002687</v>
          </cell>
          <cell r="K302" t="str">
            <v>KHOIRUL ANAM</v>
          </cell>
          <cell r="L302" t="str">
            <v>KAM</v>
          </cell>
          <cell r="M302">
            <v>2008420165</v>
          </cell>
          <cell r="N302" t="str">
            <v>IQBAL ROJIB</v>
          </cell>
          <cell r="O302" t="str">
            <v>IRB</v>
          </cell>
          <cell r="P302" t="str">
            <v>idFSIL@jbr.indomaret.co.id</v>
          </cell>
          <cell r="Q302" t="str">
            <v>KAB. JEMBER</v>
          </cell>
          <cell r="R302" t="str">
            <v>SDS</v>
          </cell>
        </row>
        <row r="303">
          <cell r="D303" t="str">
            <v>FXC0</v>
          </cell>
          <cell r="E303" t="str">
            <v>TLA2</v>
          </cell>
          <cell r="F303" t="str">
            <v>BALUNG KULON - JEMBER</v>
          </cell>
          <cell r="G303" t="str">
            <v>F</v>
          </cell>
          <cell r="H303">
            <v>44652</v>
          </cell>
          <cell r="I303" t="str">
            <v xml:space="preserve">STANDARD </v>
          </cell>
          <cell r="J303">
            <v>2004002687</v>
          </cell>
          <cell r="K303" t="str">
            <v>KHOIRUL ANAM</v>
          </cell>
          <cell r="L303" t="str">
            <v>KAM</v>
          </cell>
          <cell r="M303">
            <v>2008420165</v>
          </cell>
          <cell r="N303" t="str">
            <v>IQBAL ROJIB</v>
          </cell>
          <cell r="O303" t="str">
            <v>IRB</v>
          </cell>
          <cell r="P303" t="str">
            <v>idFXC0@jbr.indomaret.co.id</v>
          </cell>
          <cell r="Q303" t="str">
            <v>KAB. JEMBER</v>
          </cell>
          <cell r="R303" t="str">
            <v>SDS</v>
          </cell>
        </row>
        <row r="304">
          <cell r="D304" t="str">
            <v>T55P</v>
          </cell>
          <cell r="E304" t="str">
            <v/>
          </cell>
          <cell r="F304" t="str">
            <v>ROWOTAMTU - JEMBER</v>
          </cell>
          <cell r="G304" t="str">
            <v>R</v>
          </cell>
          <cell r="H304">
            <v>41474</v>
          </cell>
          <cell r="I304" t="str">
            <v xml:space="preserve">STANDARD </v>
          </cell>
          <cell r="J304">
            <v>2004002687</v>
          </cell>
          <cell r="K304" t="str">
            <v>KHOIRUL ANAM</v>
          </cell>
          <cell r="L304" t="str">
            <v>KAM</v>
          </cell>
          <cell r="M304">
            <v>2008420165</v>
          </cell>
          <cell r="N304" t="str">
            <v>IQBAL ROJIB</v>
          </cell>
          <cell r="O304" t="str">
            <v>IRB</v>
          </cell>
          <cell r="P304" t="str">
            <v>idmT55P@jbr.indomaret.co.id</v>
          </cell>
          <cell r="Q304" t="str">
            <v>KAB. JEMBER</v>
          </cell>
          <cell r="R304" t="str">
            <v>SDS</v>
          </cell>
        </row>
        <row r="305">
          <cell r="D305" t="str">
            <v>TDFG</v>
          </cell>
          <cell r="E305" t="str">
            <v>FGPL</v>
          </cell>
          <cell r="F305" t="str">
            <v>MANGUN SARKORO</v>
          </cell>
          <cell r="G305" t="str">
            <v>R</v>
          </cell>
          <cell r="H305">
            <v>43891</v>
          </cell>
          <cell r="I305" t="str">
            <v xml:space="preserve">STANDARD </v>
          </cell>
          <cell r="J305">
            <v>2004002687</v>
          </cell>
          <cell r="K305" t="str">
            <v>KHOIRUL ANAM</v>
          </cell>
          <cell r="L305" t="str">
            <v>KAM</v>
          </cell>
          <cell r="M305">
            <v>2008420165</v>
          </cell>
          <cell r="N305" t="str">
            <v>IQBAL ROJIB</v>
          </cell>
          <cell r="O305" t="str">
            <v>IRB</v>
          </cell>
          <cell r="P305" t="str">
            <v>idmTDFG@jbr.indomaret.co.id</v>
          </cell>
          <cell r="Q305" t="str">
            <v>KAB. JEMBER</v>
          </cell>
          <cell r="R305" t="str">
            <v>SDS</v>
          </cell>
        </row>
        <row r="306">
          <cell r="D306" t="str">
            <v>TKGE</v>
          </cell>
          <cell r="E306" t="str">
            <v/>
          </cell>
          <cell r="F306" t="str">
            <v>GAJAH MADA RAMBIPUJI</v>
          </cell>
          <cell r="G306" t="str">
            <v>R</v>
          </cell>
          <cell r="H306">
            <v>42460</v>
          </cell>
          <cell r="I306" t="str">
            <v xml:space="preserve">STANDARD </v>
          </cell>
          <cell r="J306">
            <v>2004002687</v>
          </cell>
          <cell r="K306" t="str">
            <v>KHOIRUL ANAM</v>
          </cell>
          <cell r="L306" t="str">
            <v>KAM</v>
          </cell>
          <cell r="M306">
            <v>2008420165</v>
          </cell>
          <cell r="N306" t="str">
            <v>IQBAL ROJIB</v>
          </cell>
          <cell r="O306" t="str">
            <v>IRB</v>
          </cell>
          <cell r="P306" t="str">
            <v>idmTKGE@jbr.indomaret.co.id</v>
          </cell>
          <cell r="Q306" t="str">
            <v>KAB. JEMBER</v>
          </cell>
          <cell r="R306" t="str">
            <v>SDS</v>
          </cell>
        </row>
        <row r="307">
          <cell r="D307" t="str">
            <v>TNUC</v>
          </cell>
          <cell r="E307" t="str">
            <v/>
          </cell>
          <cell r="F307" t="str">
            <v>KASIYAN - JEMBER</v>
          </cell>
          <cell r="G307" t="str">
            <v>R</v>
          </cell>
          <cell r="H307">
            <v>41373</v>
          </cell>
          <cell r="I307" t="str">
            <v>STANDARD NEW</v>
          </cell>
          <cell r="J307">
            <v>2004002687</v>
          </cell>
          <cell r="K307" t="str">
            <v>KHOIRUL ANAM</v>
          </cell>
          <cell r="L307" t="str">
            <v>KAM</v>
          </cell>
          <cell r="M307">
            <v>2008420165</v>
          </cell>
          <cell r="N307" t="str">
            <v>IQBAL ROJIB</v>
          </cell>
          <cell r="O307" t="str">
            <v>IRB</v>
          </cell>
          <cell r="P307" t="str">
            <v>idmTNUC@jbr.indomaret.co.id</v>
          </cell>
          <cell r="Q307" t="str">
            <v>KAB. JEMBER</v>
          </cell>
          <cell r="R307" t="str">
            <v>SDN</v>
          </cell>
        </row>
        <row r="308">
          <cell r="D308" t="str">
            <v>TUEG</v>
          </cell>
          <cell r="E308" t="str">
            <v/>
          </cell>
          <cell r="F308" t="str">
            <v>STA RAMBIPUJI</v>
          </cell>
          <cell r="G308" t="str">
            <v>R</v>
          </cell>
          <cell r="H308">
            <v>42361</v>
          </cell>
          <cell r="I308" t="str">
            <v>STANDARD NEW</v>
          </cell>
          <cell r="J308">
            <v>2004002687</v>
          </cell>
          <cell r="K308" t="str">
            <v>KHOIRUL ANAM</v>
          </cell>
          <cell r="L308" t="str">
            <v>KAM</v>
          </cell>
          <cell r="M308">
            <v>2008420165</v>
          </cell>
          <cell r="N308" t="str">
            <v>IQBAL ROJIB</v>
          </cell>
          <cell r="O308" t="str">
            <v>IRB</v>
          </cell>
          <cell r="P308" t="str">
            <v>idmTUEG@jbr.indomaret.co.id</v>
          </cell>
          <cell r="Q308" t="str">
            <v>KAB. JEMBER</v>
          </cell>
          <cell r="R308" t="str">
            <v>SDN</v>
          </cell>
        </row>
        <row r="309">
          <cell r="D309" t="str">
            <v>TUL7</v>
          </cell>
          <cell r="E309" t="str">
            <v/>
          </cell>
          <cell r="F309" t="str">
            <v>RAYA BALUNG 97</v>
          </cell>
          <cell r="G309" t="str">
            <v>R</v>
          </cell>
          <cell r="H309">
            <v>41388</v>
          </cell>
          <cell r="I309" t="str">
            <v xml:space="preserve">STANDARD </v>
          </cell>
          <cell r="J309">
            <v>2004002687</v>
          </cell>
          <cell r="K309" t="str">
            <v>KHOIRUL ANAM</v>
          </cell>
          <cell r="L309" t="str">
            <v>KAM</v>
          </cell>
          <cell r="M309">
            <v>2008420165</v>
          </cell>
          <cell r="N309" t="str">
            <v>IQBAL ROJIB</v>
          </cell>
          <cell r="O309" t="str">
            <v>IRB</v>
          </cell>
          <cell r="P309" t="str">
            <v>idmTUL7@jbr.indomaret.co.id</v>
          </cell>
          <cell r="Q309" t="str">
            <v>KAB. JEMBER</v>
          </cell>
          <cell r="R309" t="str">
            <v>SDS</v>
          </cell>
        </row>
        <row r="310">
          <cell r="D310" t="str">
            <v>TWEU</v>
          </cell>
          <cell r="E310" t="str">
            <v>F33L</v>
          </cell>
          <cell r="F310" t="str">
            <v>BANGSALSARI - JEMBER</v>
          </cell>
          <cell r="G310" t="str">
            <v>R</v>
          </cell>
          <cell r="H310">
            <v>43191</v>
          </cell>
          <cell r="I310" t="str">
            <v xml:space="preserve">STANDARD </v>
          </cell>
          <cell r="J310">
            <v>2004002687</v>
          </cell>
          <cell r="K310" t="str">
            <v>KHOIRUL ANAM</v>
          </cell>
          <cell r="L310" t="str">
            <v>KAM</v>
          </cell>
          <cell r="M310">
            <v>2008420165</v>
          </cell>
          <cell r="N310" t="str">
            <v>IQBAL ROJIB</v>
          </cell>
          <cell r="O310" t="str">
            <v>IRB</v>
          </cell>
          <cell r="P310" t="str">
            <v>idmTWEU@jbr.indomaret.co.id</v>
          </cell>
          <cell r="Q310" t="str">
            <v>KAB. JEMBER</v>
          </cell>
          <cell r="R310" t="str">
            <v>SDS</v>
          </cell>
        </row>
        <row r="311">
          <cell r="D311" t="str">
            <v>TWUR</v>
          </cell>
          <cell r="E311" t="str">
            <v/>
          </cell>
          <cell r="F311" t="str">
            <v>SUKOREJO BANGSALSARI</v>
          </cell>
          <cell r="G311" t="str">
            <v>R</v>
          </cell>
          <cell r="H311">
            <v>42338</v>
          </cell>
          <cell r="I311" t="str">
            <v xml:space="preserve">STANDARD </v>
          </cell>
          <cell r="J311">
            <v>2004002687</v>
          </cell>
          <cell r="K311" t="str">
            <v>KHOIRUL ANAM</v>
          </cell>
          <cell r="L311" t="str">
            <v>KAM</v>
          </cell>
          <cell r="M311">
            <v>2008420165</v>
          </cell>
          <cell r="N311" t="str">
            <v>IQBAL ROJIB</v>
          </cell>
          <cell r="O311" t="str">
            <v>IRB</v>
          </cell>
          <cell r="P311" t="str">
            <v>idmTWUR@jbr.indomaret.co.id</v>
          </cell>
          <cell r="Q311" t="str">
            <v>KAB. JEMBER</v>
          </cell>
          <cell r="R311" t="str">
            <v>SDS</v>
          </cell>
        </row>
        <row r="312">
          <cell r="D312" t="str">
            <v>F05D</v>
          </cell>
          <cell r="E312" t="str">
            <v>T17A</v>
          </cell>
          <cell r="F312" t="str">
            <v>SUMBERBARU</v>
          </cell>
          <cell r="G312" t="str">
            <v>F</v>
          </cell>
          <cell r="H312">
            <v>44197</v>
          </cell>
          <cell r="I312" t="str">
            <v xml:space="preserve">STANDARD </v>
          </cell>
          <cell r="J312">
            <v>2004002687</v>
          </cell>
          <cell r="K312" t="str">
            <v>KHOIRUL ANAM</v>
          </cell>
          <cell r="L312" t="str">
            <v>KAM</v>
          </cell>
          <cell r="M312">
            <v>2012034484</v>
          </cell>
          <cell r="N312" t="str">
            <v>MOCHAMAD ANDI</v>
          </cell>
          <cell r="O312" t="str">
            <v>MAI</v>
          </cell>
          <cell r="P312" t="str">
            <v>idF05D@jbr.indomaret.co.id</v>
          </cell>
          <cell r="Q312" t="str">
            <v>KAB. JEMBER</v>
          </cell>
          <cell r="R312" t="str">
            <v>SDS</v>
          </cell>
        </row>
        <row r="313">
          <cell r="D313" t="str">
            <v>F07C</v>
          </cell>
          <cell r="E313" t="str">
            <v/>
          </cell>
          <cell r="F313" t="str">
            <v>TANGGUL 2</v>
          </cell>
          <cell r="G313" t="str">
            <v>F</v>
          </cell>
          <cell r="H313">
            <v>45277</v>
          </cell>
          <cell r="I313" t="str">
            <v xml:space="preserve">STANDARD </v>
          </cell>
          <cell r="J313">
            <v>2004002687</v>
          </cell>
          <cell r="K313" t="str">
            <v>KHOIRUL ANAM</v>
          </cell>
          <cell r="L313" t="str">
            <v>KAM</v>
          </cell>
          <cell r="M313">
            <v>2012034484</v>
          </cell>
          <cell r="N313" t="str">
            <v>MOCHAMAD ANDI</v>
          </cell>
          <cell r="O313" t="str">
            <v>MAI</v>
          </cell>
          <cell r="P313" t="str">
            <v>idF07C@jbr.indomaret.co.id</v>
          </cell>
          <cell r="Q313" t="str">
            <v>KAB. JEMBER</v>
          </cell>
          <cell r="R313" t="str">
            <v>SDS</v>
          </cell>
        </row>
        <row r="314">
          <cell r="D314" t="str">
            <v>F430</v>
          </cell>
          <cell r="E314" t="str">
            <v/>
          </cell>
          <cell r="F314" t="str">
            <v>TANGGUL 1</v>
          </cell>
          <cell r="G314" t="str">
            <v>F</v>
          </cell>
          <cell r="H314">
            <v>45069</v>
          </cell>
          <cell r="I314" t="str">
            <v xml:space="preserve">STANDARD </v>
          </cell>
          <cell r="J314">
            <v>2004002687</v>
          </cell>
          <cell r="K314" t="str">
            <v>KHOIRUL ANAM</v>
          </cell>
          <cell r="L314" t="str">
            <v>KAM</v>
          </cell>
          <cell r="M314">
            <v>2012034484</v>
          </cell>
          <cell r="N314" t="str">
            <v>MOCHAMAD ANDI</v>
          </cell>
          <cell r="O314" t="str">
            <v>MAI</v>
          </cell>
          <cell r="P314" t="str">
            <v>idF430@jbr.indomaret.co.id</v>
          </cell>
          <cell r="Q314" t="str">
            <v>KAB. JEMBER</v>
          </cell>
          <cell r="R314" t="str">
            <v>SDS</v>
          </cell>
        </row>
        <row r="315">
          <cell r="D315" t="str">
            <v>TA55</v>
          </cell>
          <cell r="E315" t="str">
            <v/>
          </cell>
          <cell r="F315" t="str">
            <v>GAMBIRONO</v>
          </cell>
          <cell r="G315" t="str">
            <v>R</v>
          </cell>
          <cell r="H315">
            <v>39261</v>
          </cell>
          <cell r="I315" t="str">
            <v xml:space="preserve">STANDARD </v>
          </cell>
          <cell r="J315">
            <v>2004002687</v>
          </cell>
          <cell r="K315" t="str">
            <v>KHOIRUL ANAM</v>
          </cell>
          <cell r="L315" t="str">
            <v>KAM</v>
          </cell>
          <cell r="M315">
            <v>2012034484</v>
          </cell>
          <cell r="N315" t="str">
            <v>MOCHAMAD ANDI</v>
          </cell>
          <cell r="O315" t="str">
            <v>MAI</v>
          </cell>
          <cell r="P315" t="str">
            <v>idmTA55@jbr.indomaret.co.id</v>
          </cell>
          <cell r="Q315" t="str">
            <v>KAB. JEMBER</v>
          </cell>
          <cell r="R315" t="str">
            <v>SDS</v>
          </cell>
        </row>
        <row r="316">
          <cell r="D316" t="str">
            <v>TEHC</v>
          </cell>
          <cell r="E316" t="str">
            <v/>
          </cell>
          <cell r="F316" t="str">
            <v>TANGGUL WETAN</v>
          </cell>
          <cell r="G316" t="str">
            <v>R</v>
          </cell>
          <cell r="H316">
            <v>42017</v>
          </cell>
          <cell r="I316" t="str">
            <v>STANDARD NEW</v>
          </cell>
          <cell r="J316">
            <v>2004002687</v>
          </cell>
          <cell r="K316" t="str">
            <v>KHOIRUL ANAM</v>
          </cell>
          <cell r="L316" t="str">
            <v>KAM</v>
          </cell>
          <cell r="M316">
            <v>2012034484</v>
          </cell>
          <cell r="N316" t="str">
            <v>MOCHAMAD ANDI</v>
          </cell>
          <cell r="O316" t="str">
            <v>MAI</v>
          </cell>
          <cell r="P316" t="str">
            <v>idmTEHC@jbr.indomaret.co.id</v>
          </cell>
          <cell r="Q316" t="str">
            <v>KAB. JEMBER</v>
          </cell>
          <cell r="R316" t="str">
            <v>SDN</v>
          </cell>
        </row>
        <row r="317">
          <cell r="D317" t="str">
            <v>THPM</v>
          </cell>
          <cell r="E317" t="str">
            <v/>
          </cell>
          <cell r="F317" t="str">
            <v>GAMBIRONO 122 - JEMBER</v>
          </cell>
          <cell r="G317" t="str">
            <v>R</v>
          </cell>
          <cell r="H317">
            <v>41637</v>
          </cell>
          <cell r="I317" t="str">
            <v xml:space="preserve">STANDARD </v>
          </cell>
          <cell r="J317">
            <v>2004002687</v>
          </cell>
          <cell r="K317" t="str">
            <v>KHOIRUL ANAM</v>
          </cell>
          <cell r="L317" t="str">
            <v>KAM</v>
          </cell>
          <cell r="M317">
            <v>2012034484</v>
          </cell>
          <cell r="N317" t="str">
            <v>MOCHAMAD ANDI</v>
          </cell>
          <cell r="O317" t="str">
            <v>MAI</v>
          </cell>
          <cell r="P317" t="str">
            <v>idmTHPM@jbr.indomaret.co.id</v>
          </cell>
          <cell r="Q317" t="str">
            <v>KAB. JEMBER</v>
          </cell>
          <cell r="R317" t="str">
            <v>SDS</v>
          </cell>
        </row>
        <row r="318">
          <cell r="D318" t="str">
            <v>TL1C</v>
          </cell>
          <cell r="E318" t="str">
            <v/>
          </cell>
          <cell r="F318" t="str">
            <v>KAMARDIKAN</v>
          </cell>
          <cell r="G318" t="str">
            <v>R</v>
          </cell>
          <cell r="H318">
            <v>40208</v>
          </cell>
          <cell r="I318" t="str">
            <v xml:space="preserve">STANDARD </v>
          </cell>
          <cell r="J318">
            <v>2004002687</v>
          </cell>
          <cell r="K318" t="str">
            <v>KHOIRUL ANAM</v>
          </cell>
          <cell r="L318" t="str">
            <v>KAM</v>
          </cell>
          <cell r="M318">
            <v>2012034484</v>
          </cell>
          <cell r="N318" t="str">
            <v>MOCHAMAD ANDI</v>
          </cell>
          <cell r="O318" t="str">
            <v>MAI</v>
          </cell>
          <cell r="P318" t="str">
            <v>idmTL1C@jbr.indomaret.co.id</v>
          </cell>
          <cell r="Q318" t="str">
            <v>KAB. JEMBER</v>
          </cell>
          <cell r="R318" t="str">
            <v>SDS</v>
          </cell>
        </row>
        <row r="319">
          <cell r="D319" t="str">
            <v>TNBN</v>
          </cell>
          <cell r="E319" t="str">
            <v>FS2S</v>
          </cell>
          <cell r="F319" t="str">
            <v>TANGGUL KULON - JEMBER</v>
          </cell>
          <cell r="G319" t="str">
            <v>R</v>
          </cell>
          <cell r="H319">
            <v>43525</v>
          </cell>
          <cell r="I319" t="str">
            <v xml:space="preserve">STANDARD </v>
          </cell>
          <cell r="J319">
            <v>2004002687</v>
          </cell>
          <cell r="K319" t="str">
            <v>KHOIRUL ANAM</v>
          </cell>
          <cell r="L319" t="str">
            <v>KAM</v>
          </cell>
          <cell r="M319">
            <v>2012034484</v>
          </cell>
          <cell r="N319" t="str">
            <v>MOCHAMAD ANDI</v>
          </cell>
          <cell r="O319" t="str">
            <v>MAI</v>
          </cell>
          <cell r="P319" t="str">
            <v>idmTNBN@jbr.indomaret.co.id</v>
          </cell>
          <cell r="Q319" t="str">
            <v>KAB. JEMBER</v>
          </cell>
          <cell r="R319" t="str">
            <v>SDS</v>
          </cell>
        </row>
        <row r="320">
          <cell r="D320" t="str">
            <v>TNKG</v>
          </cell>
          <cell r="E320" t="str">
            <v>FXD8</v>
          </cell>
          <cell r="F320" t="str">
            <v>SEMBORO</v>
          </cell>
          <cell r="G320" t="str">
            <v>R</v>
          </cell>
          <cell r="H320">
            <v>42736</v>
          </cell>
          <cell r="I320" t="str">
            <v xml:space="preserve">STANDARD </v>
          </cell>
          <cell r="J320">
            <v>2004002687</v>
          </cell>
          <cell r="K320" t="str">
            <v>KHOIRUL ANAM</v>
          </cell>
          <cell r="L320" t="str">
            <v>KAM</v>
          </cell>
          <cell r="M320">
            <v>2012034484</v>
          </cell>
          <cell r="N320" t="str">
            <v>MOCHAMAD ANDI</v>
          </cell>
          <cell r="O320" t="str">
            <v>MAI</v>
          </cell>
          <cell r="P320" t="str">
            <v>idmTNKG@jbr.indomaret.co.id</v>
          </cell>
          <cell r="Q320" t="str">
            <v>KAB. JEMBER</v>
          </cell>
          <cell r="R320" t="str">
            <v>SDS</v>
          </cell>
        </row>
        <row r="321">
          <cell r="D321" t="str">
            <v>TPDM</v>
          </cell>
          <cell r="E321" t="str">
            <v/>
          </cell>
          <cell r="F321" t="str">
            <v>GUNUNGSARI</v>
          </cell>
          <cell r="G321" t="str">
            <v>R</v>
          </cell>
          <cell r="H321">
            <v>42216</v>
          </cell>
          <cell r="I321" t="str">
            <v xml:space="preserve">STANDARD </v>
          </cell>
          <cell r="J321">
            <v>2004002687</v>
          </cell>
          <cell r="K321" t="str">
            <v>KHOIRUL ANAM</v>
          </cell>
          <cell r="L321" t="str">
            <v>KAM</v>
          </cell>
          <cell r="M321">
            <v>2012034484</v>
          </cell>
          <cell r="N321" t="str">
            <v>MOCHAMAD ANDI</v>
          </cell>
          <cell r="O321" t="str">
            <v>MAI</v>
          </cell>
          <cell r="P321" t="str">
            <v>idmTPDM@jbr.indomaret.co.id</v>
          </cell>
          <cell r="Q321" t="str">
            <v>KAB. JEMBER</v>
          </cell>
          <cell r="R321" t="str">
            <v>SDS</v>
          </cell>
        </row>
        <row r="322">
          <cell r="D322" t="str">
            <v>TQKK</v>
          </cell>
          <cell r="E322" t="str">
            <v/>
          </cell>
          <cell r="F322" t="str">
            <v>RAYA SUMBER BARU - JEMBER</v>
          </cell>
          <cell r="G322" t="str">
            <v>R</v>
          </cell>
          <cell r="H322">
            <v>41055</v>
          </cell>
          <cell r="I322" t="str">
            <v xml:space="preserve">STANDARD </v>
          </cell>
          <cell r="J322">
            <v>2004002687</v>
          </cell>
          <cell r="K322" t="str">
            <v>KHOIRUL ANAM</v>
          </cell>
          <cell r="L322" t="str">
            <v>KAM</v>
          </cell>
          <cell r="M322">
            <v>2012034484</v>
          </cell>
          <cell r="N322" t="str">
            <v>MOCHAMAD ANDI</v>
          </cell>
          <cell r="O322" t="str">
            <v>MAI</v>
          </cell>
          <cell r="P322" t="str">
            <v>idmTQKK@jbr.indomaret.co.id</v>
          </cell>
          <cell r="Q322" t="str">
            <v>KAB. JEMBER</v>
          </cell>
          <cell r="R322" t="str">
            <v>SDS</v>
          </cell>
        </row>
        <row r="323">
          <cell r="D323" t="str">
            <v>TUHT</v>
          </cell>
          <cell r="E323" t="str">
            <v/>
          </cell>
          <cell r="F323" t="str">
            <v>TANGGUL JEMBER</v>
          </cell>
          <cell r="G323" t="str">
            <v>R</v>
          </cell>
          <cell r="H323">
            <v>42338</v>
          </cell>
          <cell r="I323" t="str">
            <v>STANDARD NEW</v>
          </cell>
          <cell r="J323">
            <v>2004002687</v>
          </cell>
          <cell r="K323" t="str">
            <v>KHOIRUL ANAM</v>
          </cell>
          <cell r="L323" t="str">
            <v>KAM</v>
          </cell>
          <cell r="M323">
            <v>2012034484</v>
          </cell>
          <cell r="N323" t="str">
            <v>MOCHAMAD ANDI</v>
          </cell>
          <cell r="O323" t="str">
            <v>MAI</v>
          </cell>
          <cell r="P323" t="str">
            <v>idmTUHT@jbr.indomaret.co.id</v>
          </cell>
          <cell r="Q323" t="str">
            <v>KAB. JEMBER</v>
          </cell>
          <cell r="R323" t="str">
            <v>SDN</v>
          </cell>
        </row>
        <row r="324">
          <cell r="D324" t="str">
            <v>TUWM</v>
          </cell>
          <cell r="E324" t="str">
            <v/>
          </cell>
          <cell r="F324" t="str">
            <v>PONDOK DALEM</v>
          </cell>
          <cell r="G324" t="str">
            <v>R</v>
          </cell>
          <cell r="H324">
            <v>42397</v>
          </cell>
          <cell r="I324" t="str">
            <v>STANDARD NEW</v>
          </cell>
          <cell r="J324">
            <v>2004002687</v>
          </cell>
          <cell r="K324" t="str">
            <v>KHOIRUL ANAM</v>
          </cell>
          <cell r="L324" t="str">
            <v>KAM</v>
          </cell>
          <cell r="M324">
            <v>2012034484</v>
          </cell>
          <cell r="N324" t="str">
            <v>MOCHAMAD ANDI</v>
          </cell>
          <cell r="O324" t="str">
            <v>MAI</v>
          </cell>
          <cell r="P324" t="str">
            <v>idmTUWM@jbr.indomaret.co.id</v>
          </cell>
          <cell r="Q324" t="str">
            <v>KAB. JEMBER</v>
          </cell>
          <cell r="R324" t="str">
            <v>SDN</v>
          </cell>
        </row>
        <row r="325">
          <cell r="D325" t="str">
            <v>FAEG</v>
          </cell>
          <cell r="E325" t="str">
            <v>TUAC</v>
          </cell>
          <cell r="F325" t="str">
            <v>DIPONEGORO-BONDOWOSO</v>
          </cell>
          <cell r="G325" t="str">
            <v>F</v>
          </cell>
          <cell r="H325">
            <v>44562</v>
          </cell>
          <cell r="I325" t="str">
            <v xml:space="preserve">STANDARD </v>
          </cell>
          <cell r="J325">
            <v>2015562210</v>
          </cell>
          <cell r="K325" t="str">
            <v>SALOMO ARIEF</v>
          </cell>
          <cell r="L325" t="str">
            <v>SAL</v>
          </cell>
          <cell r="M325">
            <v>2008420170</v>
          </cell>
          <cell r="N325" t="str">
            <v>AHMAD FAUZI</v>
          </cell>
          <cell r="O325" t="str">
            <v>AFZ</v>
          </cell>
          <cell r="P325" t="str">
            <v>idFAEG@jbr.indomaret.co.id</v>
          </cell>
          <cell r="Q325" t="str">
            <v>KAB. BONDOWOSO</v>
          </cell>
          <cell r="R325" t="str">
            <v>SDS</v>
          </cell>
        </row>
        <row r="326">
          <cell r="D326" t="str">
            <v>FDFU</v>
          </cell>
          <cell r="E326" t="str">
            <v>T86J</v>
          </cell>
          <cell r="F326" t="str">
            <v>SEKAR PUTIH BONDOWOSO</v>
          </cell>
          <cell r="G326" t="str">
            <v>F</v>
          </cell>
          <cell r="H326">
            <v>44866</v>
          </cell>
          <cell r="I326" t="str">
            <v xml:space="preserve">STANDARD </v>
          </cell>
          <cell r="J326">
            <v>2015562210</v>
          </cell>
          <cell r="K326" t="str">
            <v>SALOMO ARIEF</v>
          </cell>
          <cell r="L326" t="str">
            <v>SAL</v>
          </cell>
          <cell r="M326">
            <v>2004002890</v>
          </cell>
          <cell r="N326" t="str">
            <v>AHMAD FAUZI</v>
          </cell>
          <cell r="O326" t="str">
            <v>AFZ</v>
          </cell>
          <cell r="P326" t="str">
            <v>idFDFU@jbr.indomaret.co.id</v>
          </cell>
          <cell r="Q326" t="str">
            <v>KAB. BONDOWOSO</v>
          </cell>
          <cell r="R326" t="str">
            <v>SDS</v>
          </cell>
        </row>
        <row r="327">
          <cell r="D327" t="str">
            <v>FOAA</v>
          </cell>
          <cell r="E327" t="str">
            <v>TUPX</v>
          </cell>
          <cell r="F327" t="str">
            <v>RAYA HASYIM ASHARI - BDO</v>
          </cell>
          <cell r="G327" t="str">
            <v>F</v>
          </cell>
          <cell r="H327">
            <v>45809</v>
          </cell>
          <cell r="I327" t="str">
            <v xml:space="preserve">STANDARD </v>
          </cell>
          <cell r="J327">
            <v>2015562210</v>
          </cell>
          <cell r="K327" t="str">
            <v>SALOMO ARIEF</v>
          </cell>
          <cell r="L327" t="str">
            <v>SAL</v>
          </cell>
          <cell r="M327">
            <v>2004002890</v>
          </cell>
          <cell r="N327" t="str">
            <v>AHMAD FAUZI</v>
          </cell>
          <cell r="O327" t="str">
            <v>AFZ</v>
          </cell>
          <cell r="P327" t="str">
            <v>idFOAA@jbr.indomaret.co.id</v>
          </cell>
          <cell r="Q327" t="str">
            <v>KAB. BONDOWOSO</v>
          </cell>
          <cell r="R327" t="str">
            <v>SDS</v>
          </cell>
        </row>
        <row r="328">
          <cell r="D328" t="str">
            <v>FOOD</v>
          </cell>
          <cell r="E328" t="str">
            <v>T09Q</v>
          </cell>
          <cell r="F328" t="str">
            <v>WRINGIN BDO</v>
          </cell>
          <cell r="G328" t="str">
            <v>F</v>
          </cell>
          <cell r="H328">
            <v>44896</v>
          </cell>
          <cell r="I328" t="str">
            <v xml:space="preserve">STANDARD </v>
          </cell>
          <cell r="J328">
            <v>2015562210</v>
          </cell>
          <cell r="K328" t="str">
            <v>SALOMO ARIEF</v>
          </cell>
          <cell r="L328" t="str">
            <v>SAL</v>
          </cell>
          <cell r="M328">
            <v>2004002890</v>
          </cell>
          <cell r="N328" t="str">
            <v>AHMAD FAUZI</v>
          </cell>
          <cell r="O328" t="str">
            <v>AFZ</v>
          </cell>
          <cell r="P328" t="str">
            <v>idFOOD@jbr.indomaret.co.id</v>
          </cell>
          <cell r="Q328" t="str">
            <v>KAB. BONDOWOSO</v>
          </cell>
          <cell r="R328" t="str">
            <v>SDS</v>
          </cell>
        </row>
        <row r="329">
          <cell r="D329" t="str">
            <v>FVDI</v>
          </cell>
          <cell r="E329" t="str">
            <v/>
          </cell>
          <cell r="F329" t="str">
            <v>DIPONEGORO KM 8</v>
          </cell>
          <cell r="G329" t="str">
            <v>F</v>
          </cell>
          <cell r="H329">
            <v>45124</v>
          </cell>
          <cell r="I329" t="str">
            <v xml:space="preserve">STANDARD </v>
          </cell>
          <cell r="J329">
            <v>2015562210</v>
          </cell>
          <cell r="K329" t="str">
            <v>SALOMO ARIEF</v>
          </cell>
          <cell r="L329" t="str">
            <v>SAL</v>
          </cell>
          <cell r="M329">
            <v>2004002890</v>
          </cell>
          <cell r="N329" t="str">
            <v>AHMAD FAUZI</v>
          </cell>
          <cell r="O329" t="str">
            <v>AFZ</v>
          </cell>
          <cell r="P329" t="str">
            <v>idFVDI@jbr.indomaret.co.id</v>
          </cell>
          <cell r="Q329" t="str">
            <v>KAB. BONDOWOSO</v>
          </cell>
          <cell r="R329" t="str">
            <v>SDS</v>
          </cell>
        </row>
        <row r="330">
          <cell r="D330" t="str">
            <v>T0EV</v>
          </cell>
          <cell r="E330" t="str">
            <v/>
          </cell>
          <cell r="F330" t="str">
            <v>PB SUDIRMAN 13</v>
          </cell>
          <cell r="G330" t="str">
            <v>R</v>
          </cell>
          <cell r="H330">
            <v>44408</v>
          </cell>
          <cell r="I330" t="str">
            <v xml:space="preserve">STANDARD </v>
          </cell>
          <cell r="J330">
            <v>2015562210</v>
          </cell>
          <cell r="K330" t="str">
            <v>SALOMO ARIEF</v>
          </cell>
          <cell r="L330" t="str">
            <v>SAL</v>
          </cell>
          <cell r="M330">
            <v>2004002890</v>
          </cell>
          <cell r="N330" t="str">
            <v>AHMAD FAUZI</v>
          </cell>
          <cell r="O330" t="str">
            <v>AFZ</v>
          </cell>
          <cell r="P330" t="str">
            <v>idmT0EV@jbr.indomaret.co.id</v>
          </cell>
          <cell r="Q330" t="str">
            <v>KAB. BONDOWOSO</v>
          </cell>
          <cell r="R330" t="str">
            <v>SDS</v>
          </cell>
        </row>
        <row r="331">
          <cell r="D331" t="str">
            <v>T1UM</v>
          </cell>
          <cell r="E331"/>
          <cell r="F331" t="str">
            <v>RAYA KOPRAL MOERIN</v>
          </cell>
          <cell r="G331" t="str">
            <v>R</v>
          </cell>
          <cell r="H331">
            <v>45978</v>
          </cell>
          <cell r="I331" t="str">
            <v xml:space="preserve">STANDARD </v>
          </cell>
          <cell r="J331">
            <v>2015562210</v>
          </cell>
          <cell r="K331" t="str">
            <v>SALOMO ARIEF</v>
          </cell>
          <cell r="L331" t="str">
            <v>SAL</v>
          </cell>
          <cell r="M331">
            <v>2004002890</v>
          </cell>
          <cell r="N331" t="str">
            <v>AHMAD FAUZI</v>
          </cell>
          <cell r="O331" t="str">
            <v>AFZ</v>
          </cell>
          <cell r="P331" t="str">
            <v>idmT1UM@jbr.indomaret.co.id</v>
          </cell>
          <cell r="Q331" t="str">
            <v>KAB. BONDOWOSO</v>
          </cell>
          <cell r="R331" t="str">
            <v>SDS</v>
          </cell>
        </row>
        <row r="332">
          <cell r="D332" t="str">
            <v>T7CV</v>
          </cell>
          <cell r="E332" t="str">
            <v/>
          </cell>
          <cell r="F332" t="str">
            <v>DIPONEGORO KOTA KULON</v>
          </cell>
          <cell r="G332" t="str">
            <v>R</v>
          </cell>
          <cell r="H332">
            <v>44377</v>
          </cell>
          <cell r="I332" t="str">
            <v xml:space="preserve">STANDARD </v>
          </cell>
          <cell r="J332">
            <v>2015562210</v>
          </cell>
          <cell r="K332" t="str">
            <v>SALOMO ARIEF</v>
          </cell>
          <cell r="L332" t="str">
            <v>SAL</v>
          </cell>
          <cell r="M332">
            <v>2004002890</v>
          </cell>
          <cell r="N332" t="str">
            <v>AHMAD FAUZI</v>
          </cell>
          <cell r="O332" t="str">
            <v>AFZ</v>
          </cell>
          <cell r="P332" t="str">
            <v>idmT7CV@jbr.indomaret.co.id</v>
          </cell>
          <cell r="Q332" t="str">
            <v>KAB. BONDOWOSO</v>
          </cell>
          <cell r="R332" t="str">
            <v>SDS</v>
          </cell>
        </row>
        <row r="333">
          <cell r="D333" t="str">
            <v>TKFW</v>
          </cell>
          <cell r="E333" t="str">
            <v/>
          </cell>
          <cell r="F333" t="str">
            <v>A. YANI 80</v>
          </cell>
          <cell r="G333" t="str">
            <v>R</v>
          </cell>
          <cell r="H333">
            <v>43005</v>
          </cell>
          <cell r="I333" t="str">
            <v xml:space="preserve">STANDARD </v>
          </cell>
          <cell r="J333">
            <v>2015562210</v>
          </cell>
          <cell r="K333" t="str">
            <v>SALOMO ARIEF</v>
          </cell>
          <cell r="L333" t="str">
            <v>SAL</v>
          </cell>
          <cell r="M333">
            <v>2004002890</v>
          </cell>
          <cell r="N333" t="str">
            <v>AHMAD FAUZI</v>
          </cell>
          <cell r="O333" t="str">
            <v>AFZ</v>
          </cell>
          <cell r="P333" t="str">
            <v>idmTKFW@jbr.indomaret.co.id</v>
          </cell>
          <cell r="Q333" t="str">
            <v>KAB. BONDOWOSO</v>
          </cell>
          <cell r="R333" t="str">
            <v>SDS</v>
          </cell>
        </row>
        <row r="334">
          <cell r="D334" t="str">
            <v>TOYZ</v>
          </cell>
          <cell r="E334" t="str">
            <v>FE61</v>
          </cell>
          <cell r="F334" t="str">
            <v>HASYIM ASHARI</v>
          </cell>
          <cell r="G334" t="str">
            <v>R</v>
          </cell>
          <cell r="H334">
            <v>41791</v>
          </cell>
          <cell r="I334" t="str">
            <v xml:space="preserve">STANDARD </v>
          </cell>
          <cell r="J334">
            <v>2015562210</v>
          </cell>
          <cell r="K334" t="str">
            <v>SALOMO ARIEF</v>
          </cell>
          <cell r="L334" t="str">
            <v>SAL</v>
          </cell>
          <cell r="M334">
            <v>2004002890</v>
          </cell>
          <cell r="N334" t="str">
            <v>AHMAD FAUZI</v>
          </cell>
          <cell r="O334" t="str">
            <v>AFZ</v>
          </cell>
          <cell r="P334" t="str">
            <v>idmTOYZ@jbr.indomaret.co.id</v>
          </cell>
          <cell r="Q334" t="str">
            <v>KAB. BONDOWOSO</v>
          </cell>
          <cell r="R334" t="str">
            <v>SDS</v>
          </cell>
        </row>
        <row r="335">
          <cell r="D335" t="str">
            <v>TRDT</v>
          </cell>
          <cell r="E335" t="str">
            <v/>
          </cell>
          <cell r="F335" t="str">
            <v>SANTAWI</v>
          </cell>
          <cell r="G335" t="str">
            <v>R</v>
          </cell>
          <cell r="H335">
            <v>42978</v>
          </cell>
          <cell r="I335" t="str">
            <v xml:space="preserve">STANDARD </v>
          </cell>
          <cell r="J335">
            <v>2015562210</v>
          </cell>
          <cell r="K335" t="str">
            <v>SALOMO ARIEF</v>
          </cell>
          <cell r="L335" t="str">
            <v>SAL</v>
          </cell>
          <cell r="M335">
            <v>2004002890</v>
          </cell>
          <cell r="N335" t="str">
            <v>AHMAD FAUZI</v>
          </cell>
          <cell r="O335" t="str">
            <v>AFZ</v>
          </cell>
          <cell r="P335" t="str">
            <v>idmTRDT@jbr.indomaret.co.id</v>
          </cell>
          <cell r="Q335" t="str">
            <v>KAB. BONDOWOSO</v>
          </cell>
          <cell r="R335" t="str">
            <v>SDS</v>
          </cell>
        </row>
        <row r="336">
          <cell r="D336" t="str">
            <v>TTC0</v>
          </cell>
          <cell r="E336"/>
          <cell r="F336" t="str">
            <v>HOS COROAMINOTO</v>
          </cell>
          <cell r="G336" t="str">
            <v>R</v>
          </cell>
          <cell r="H336">
            <v>46021</v>
          </cell>
          <cell r="I336" t="str">
            <v xml:space="preserve">STANDARD </v>
          </cell>
          <cell r="J336">
            <v>2015562210</v>
          </cell>
          <cell r="K336" t="str">
            <v>SALOMO ARIEF</v>
          </cell>
          <cell r="L336" t="str">
            <v>SAL</v>
          </cell>
          <cell r="M336">
            <v>2004002890</v>
          </cell>
          <cell r="N336" t="str">
            <v>AHMAD FAUZI</v>
          </cell>
          <cell r="O336" t="str">
            <v>AFZ</v>
          </cell>
          <cell r="P336" t="str">
            <v>idmTTC0@jbr.indomaret.co.id</v>
          </cell>
          <cell r="Q336" t="str">
            <v>KAB. BONDOWOSO</v>
          </cell>
          <cell r="R336" t="str">
            <v>SDS</v>
          </cell>
        </row>
        <row r="337">
          <cell r="D337" t="str">
            <v>TYSO</v>
          </cell>
          <cell r="E337" t="str">
            <v/>
          </cell>
          <cell r="F337" t="str">
            <v>HOS COKROAMINOTO KADEMANG</v>
          </cell>
          <cell r="G337" t="str">
            <v>R</v>
          </cell>
          <cell r="H337">
            <v>42978</v>
          </cell>
          <cell r="I337" t="str">
            <v xml:space="preserve">STANDARD </v>
          </cell>
          <cell r="J337">
            <v>2015562210</v>
          </cell>
          <cell r="K337" t="str">
            <v>SALOMO ARIEF</v>
          </cell>
          <cell r="L337" t="str">
            <v>SAL</v>
          </cell>
          <cell r="M337">
            <v>2004002890</v>
          </cell>
          <cell r="N337" t="str">
            <v>AHMAD FAUZI</v>
          </cell>
          <cell r="O337" t="str">
            <v>AFZ</v>
          </cell>
          <cell r="P337" t="str">
            <v>idmTYSO@jbr.indomaret.co.id</v>
          </cell>
          <cell r="Q337" t="str">
            <v>KAB. BONDOWOSO</v>
          </cell>
          <cell r="R337" t="str">
            <v>SDS</v>
          </cell>
        </row>
        <row r="338">
          <cell r="D338" t="str">
            <v>TYYI</v>
          </cell>
          <cell r="E338" t="str">
            <v/>
          </cell>
          <cell r="F338" t="str">
            <v>TEGAL AMPEL</v>
          </cell>
          <cell r="G338" t="str">
            <v>R</v>
          </cell>
          <cell r="H338">
            <v>42998</v>
          </cell>
          <cell r="I338" t="str">
            <v xml:space="preserve">STANDARD </v>
          </cell>
          <cell r="J338">
            <v>2015562210</v>
          </cell>
          <cell r="K338" t="str">
            <v>SALOMO ARIEF</v>
          </cell>
          <cell r="L338" t="str">
            <v>SAL</v>
          </cell>
          <cell r="M338">
            <v>2004002890</v>
          </cell>
          <cell r="N338" t="str">
            <v>AHMAD FAUZI</v>
          </cell>
          <cell r="O338" t="str">
            <v>AFZ</v>
          </cell>
          <cell r="P338" t="str">
            <v>idmTYYI@jbr.indomaret.co.id</v>
          </cell>
          <cell r="Q338" t="str">
            <v>KAB. BONDOWOSO</v>
          </cell>
          <cell r="R338" t="str">
            <v>SDS</v>
          </cell>
        </row>
        <row r="339">
          <cell r="D339" t="str">
            <v>F31M</v>
          </cell>
          <cell r="E339" t="str">
            <v>TA2A</v>
          </cell>
          <cell r="F339" t="str">
            <v>GRUJUGAN - BONDOWOSO</v>
          </cell>
          <cell r="G339" t="str">
            <v>F</v>
          </cell>
          <cell r="H339">
            <v>44743</v>
          </cell>
          <cell r="I339" t="str">
            <v xml:space="preserve">STANDARD </v>
          </cell>
          <cell r="J339">
            <v>2015562210</v>
          </cell>
          <cell r="K339" t="str">
            <v>SALOMO ARIEF</v>
          </cell>
          <cell r="L339" t="str">
            <v>SAL</v>
          </cell>
          <cell r="M339">
            <v>2007003858</v>
          </cell>
          <cell r="N339" t="str">
            <v>FAHRURROZZI ANDRIANSYAH</v>
          </cell>
          <cell r="O339" t="str">
            <v>FZA</v>
          </cell>
          <cell r="P339" t="str">
            <v>idF31M@jbr.indomaret.co.id</v>
          </cell>
          <cell r="Q339" t="str">
            <v>KAB. BONDOWOSO</v>
          </cell>
          <cell r="R339" t="str">
            <v>SDS</v>
          </cell>
        </row>
        <row r="340">
          <cell r="D340" t="str">
            <v>FBVJ</v>
          </cell>
          <cell r="E340" t="str">
            <v/>
          </cell>
          <cell r="F340" t="str">
            <v>BUNDER</v>
          </cell>
          <cell r="G340" t="str">
            <v>F</v>
          </cell>
          <cell r="H340">
            <v>45093</v>
          </cell>
          <cell r="I340" t="str">
            <v xml:space="preserve">STANDARD </v>
          </cell>
          <cell r="J340">
            <v>2015562210</v>
          </cell>
          <cell r="K340" t="str">
            <v>SALOMO ARIEF</v>
          </cell>
          <cell r="L340" t="str">
            <v>SAL</v>
          </cell>
          <cell r="M340">
            <v>2007003858</v>
          </cell>
          <cell r="N340" t="str">
            <v>FAHRURROZZI ANDRIANSYAH</v>
          </cell>
          <cell r="O340" t="str">
            <v>FZA</v>
          </cell>
          <cell r="P340" t="str">
            <v>idFBVJ@jbr.indomaret.co.id</v>
          </cell>
          <cell r="Q340" t="str">
            <v>KAB. BONDOWOSO</v>
          </cell>
          <cell r="R340" t="str">
            <v>SDS</v>
          </cell>
        </row>
        <row r="341">
          <cell r="D341" t="str">
            <v>FF72</v>
          </cell>
          <cell r="E341" t="str">
            <v/>
          </cell>
          <cell r="F341" t="str">
            <v>A.YANI -  BONDOWOSO</v>
          </cell>
          <cell r="G341" t="str">
            <v>F</v>
          </cell>
          <cell r="H341">
            <v>45547</v>
          </cell>
          <cell r="I341" t="str">
            <v xml:space="preserve">STANDARD </v>
          </cell>
          <cell r="J341">
            <v>2015562210</v>
          </cell>
          <cell r="K341" t="str">
            <v>SALOMO ARIEF</v>
          </cell>
          <cell r="L341" t="str">
            <v>SAL</v>
          </cell>
          <cell r="M341">
            <v>2007003858</v>
          </cell>
          <cell r="N341" t="str">
            <v>FAHRURROZZI ANDRIANSYAH</v>
          </cell>
          <cell r="O341" t="str">
            <v>FZA</v>
          </cell>
          <cell r="P341" t="str">
            <v>idFF72@jbr.indomaret.co.id</v>
          </cell>
          <cell r="Q341" t="str">
            <v>KAB. BONDOWOSO</v>
          </cell>
          <cell r="R341" t="str">
            <v>SDS</v>
          </cell>
        </row>
        <row r="342">
          <cell r="D342" t="str">
            <v>FHMC</v>
          </cell>
          <cell r="E342" t="str">
            <v>TVVK</v>
          </cell>
          <cell r="F342" t="str">
            <v>NANGKAAN  - BODOWOSO</v>
          </cell>
          <cell r="G342" t="str">
            <v>F</v>
          </cell>
          <cell r="H342">
            <v>45078</v>
          </cell>
          <cell r="I342" t="str">
            <v xml:space="preserve">STANDARD </v>
          </cell>
          <cell r="J342">
            <v>2015562210</v>
          </cell>
          <cell r="K342" t="str">
            <v>SALOMO ARIEF</v>
          </cell>
          <cell r="L342" t="str">
            <v>SAL</v>
          </cell>
          <cell r="M342">
            <v>2007003858</v>
          </cell>
          <cell r="N342" t="str">
            <v>FAHRURROZZI ANDRIANSYAH</v>
          </cell>
          <cell r="O342" t="str">
            <v>FZA</v>
          </cell>
          <cell r="P342" t="str">
            <v>idFHMC@jbr.indomaret.co.id</v>
          </cell>
          <cell r="Q342" t="str">
            <v>KAB. BONDOWOSO</v>
          </cell>
          <cell r="R342" t="str">
            <v>SDS</v>
          </cell>
        </row>
        <row r="343">
          <cell r="D343" t="str">
            <v>FPID</v>
          </cell>
          <cell r="E343" t="str">
            <v>TXES</v>
          </cell>
          <cell r="F343" t="str">
            <v>GAMBANGAN BONDOWOSO</v>
          </cell>
          <cell r="G343" t="str">
            <v>F</v>
          </cell>
          <cell r="H343">
            <v>45078</v>
          </cell>
          <cell r="I343" t="str">
            <v xml:space="preserve">STANDARD </v>
          </cell>
          <cell r="J343">
            <v>2015562210</v>
          </cell>
          <cell r="K343" t="str">
            <v>SALOMO ARIEF</v>
          </cell>
          <cell r="L343" t="str">
            <v>SAL</v>
          </cell>
          <cell r="M343">
            <v>2007003858</v>
          </cell>
          <cell r="N343" t="str">
            <v>FAHRURROZZI ANDRIANSYAH</v>
          </cell>
          <cell r="O343" t="str">
            <v>FZA</v>
          </cell>
          <cell r="P343" t="str">
            <v>idFPID@jbr.indomaret.co.id</v>
          </cell>
          <cell r="Q343" t="str">
            <v>KAB. BONDOWOSO</v>
          </cell>
          <cell r="R343" t="str">
            <v>SDS</v>
          </cell>
        </row>
        <row r="344">
          <cell r="D344" t="str">
            <v>FPP7</v>
          </cell>
          <cell r="E344" t="str">
            <v/>
          </cell>
          <cell r="F344" t="str">
            <v>CURAHDAMI NO. 6</v>
          </cell>
          <cell r="G344" t="str">
            <v>F</v>
          </cell>
          <cell r="H344">
            <v>44990</v>
          </cell>
          <cell r="I344" t="str">
            <v xml:space="preserve">STANDARD </v>
          </cell>
          <cell r="J344">
            <v>2015562210</v>
          </cell>
          <cell r="K344" t="str">
            <v>SALOMO ARIEF</v>
          </cell>
          <cell r="L344" t="str">
            <v>SAL</v>
          </cell>
          <cell r="M344">
            <v>2007003858</v>
          </cell>
          <cell r="N344" t="str">
            <v>FAHRURROZZI ANDRIANSYAH</v>
          </cell>
          <cell r="O344" t="str">
            <v>FZA</v>
          </cell>
          <cell r="P344" t="str">
            <v>idFPP7@jbr.indomaret.co.id</v>
          </cell>
          <cell r="Q344" t="str">
            <v>KAB. BONDOWOSO</v>
          </cell>
          <cell r="R344" t="str">
            <v>SDS</v>
          </cell>
        </row>
        <row r="345">
          <cell r="D345" t="str">
            <v>FYIL</v>
          </cell>
          <cell r="E345" t="str">
            <v>TEXL</v>
          </cell>
          <cell r="F345" t="str">
            <v>RAYA S PARMAN - BONDOWOSO</v>
          </cell>
          <cell r="G345" t="str">
            <v>F</v>
          </cell>
          <cell r="H345">
            <v>44409</v>
          </cell>
          <cell r="I345" t="str">
            <v xml:space="preserve">STANDARD </v>
          </cell>
          <cell r="J345">
            <v>2015562210</v>
          </cell>
          <cell r="K345" t="str">
            <v>SALOMO ARIEF</v>
          </cell>
          <cell r="L345" t="str">
            <v>SAL</v>
          </cell>
          <cell r="M345">
            <v>2007003858</v>
          </cell>
          <cell r="N345" t="str">
            <v>FAHRURROZZI ANDRIANSYAH</v>
          </cell>
          <cell r="O345" t="str">
            <v>FZA</v>
          </cell>
          <cell r="P345" t="str">
            <v>idFYIL@jbr.indomaret.co.id</v>
          </cell>
          <cell r="Q345" t="str">
            <v>KAB. BONDOWOSO</v>
          </cell>
          <cell r="R345" t="str">
            <v>SDS</v>
          </cell>
        </row>
        <row r="346">
          <cell r="D346" t="str">
            <v>T8Z8</v>
          </cell>
          <cell r="E346"/>
          <cell r="F346" t="str">
            <v>BONDOWOSO JEMBER PAKUNIRAN</v>
          </cell>
          <cell r="G346" t="str">
            <v>R</v>
          </cell>
          <cell r="H346">
            <v>46077</v>
          </cell>
          <cell r="I346" t="str">
            <v>STANDARD NEW</v>
          </cell>
          <cell r="J346">
            <v>2015562210</v>
          </cell>
          <cell r="K346" t="str">
            <v>SALOMO ARIEF</v>
          </cell>
          <cell r="L346" t="str">
            <v>SAL</v>
          </cell>
          <cell r="M346">
            <v>2007003858</v>
          </cell>
          <cell r="N346" t="str">
            <v>FAHRURROZZI ANDRIANSYAH</v>
          </cell>
          <cell r="O346" t="str">
            <v>FZA</v>
          </cell>
          <cell r="P346" t="str">
            <v>idmT8Z8@jbr.indomaret.co.id</v>
          </cell>
          <cell r="Q346" t="str">
            <v>KAB. BONDOWOSO</v>
          </cell>
          <cell r="R346" t="str">
            <v>SDN</v>
          </cell>
        </row>
        <row r="347">
          <cell r="D347" t="str">
            <v>TCUS</v>
          </cell>
          <cell r="E347" t="str">
            <v/>
          </cell>
          <cell r="F347" t="str">
            <v>PENANGGUNGAN - BONDOWOSO</v>
          </cell>
          <cell r="G347" t="str">
            <v>R</v>
          </cell>
          <cell r="H347">
            <v>41478</v>
          </cell>
          <cell r="I347" t="str">
            <v xml:space="preserve">STANDARD </v>
          </cell>
          <cell r="J347">
            <v>2015562210</v>
          </cell>
          <cell r="K347" t="str">
            <v>SALOMO ARIEF</v>
          </cell>
          <cell r="L347" t="str">
            <v>SAL</v>
          </cell>
          <cell r="M347">
            <v>2007003858</v>
          </cell>
          <cell r="N347" t="str">
            <v>FAHRURROZZI ANDRIANSYAH</v>
          </cell>
          <cell r="O347" t="str">
            <v>FZA</v>
          </cell>
          <cell r="P347" t="str">
            <v>idmTCUS@jbr.indomaret.co.id</v>
          </cell>
          <cell r="Q347" t="str">
            <v>KAB. BONDOWOSO</v>
          </cell>
          <cell r="R347" t="str">
            <v>SDS</v>
          </cell>
        </row>
        <row r="348">
          <cell r="D348" t="str">
            <v>TINY</v>
          </cell>
          <cell r="E348" t="str">
            <v/>
          </cell>
          <cell r="F348" t="str">
            <v>A. YANI 57</v>
          </cell>
          <cell r="G348" t="str">
            <v>R</v>
          </cell>
          <cell r="H348">
            <v>42823</v>
          </cell>
          <cell r="I348" t="str">
            <v xml:space="preserve">STANDARD </v>
          </cell>
          <cell r="J348">
            <v>2015562210</v>
          </cell>
          <cell r="K348" t="str">
            <v>SALOMO ARIEF</v>
          </cell>
          <cell r="L348" t="str">
            <v>SAL</v>
          </cell>
          <cell r="M348">
            <v>2007003858</v>
          </cell>
          <cell r="N348" t="str">
            <v>FAHRURROZZI ANDRIANSYAH</v>
          </cell>
          <cell r="O348" t="str">
            <v>FZA</v>
          </cell>
          <cell r="P348" t="str">
            <v>idmTINY@jbr.indomaret.co.id</v>
          </cell>
          <cell r="Q348" t="str">
            <v>KAB. BONDOWOSO</v>
          </cell>
          <cell r="R348" t="str">
            <v>SDS</v>
          </cell>
        </row>
        <row r="349">
          <cell r="D349" t="str">
            <v>TK63</v>
          </cell>
          <cell r="E349" t="str">
            <v/>
          </cell>
          <cell r="F349" t="str">
            <v>KEMBANG - BDO</v>
          </cell>
          <cell r="G349" t="str">
            <v>R</v>
          </cell>
          <cell r="H349">
            <v>40627</v>
          </cell>
          <cell r="I349" t="str">
            <v xml:space="preserve">STANDARD </v>
          </cell>
          <cell r="J349">
            <v>2015562210</v>
          </cell>
          <cell r="K349" t="str">
            <v>SALOMO ARIEF</v>
          </cell>
          <cell r="L349" t="str">
            <v>SAL</v>
          </cell>
          <cell r="M349">
            <v>2007003858</v>
          </cell>
          <cell r="N349" t="str">
            <v>FAHRURROZZI ANDRIANSYAH</v>
          </cell>
          <cell r="O349" t="str">
            <v>FZA</v>
          </cell>
          <cell r="P349" t="str">
            <v>idmTK63@jbr.indomaret.co.id</v>
          </cell>
          <cell r="Q349" t="str">
            <v>KAB. BONDOWOSO</v>
          </cell>
          <cell r="R349" t="str">
            <v>SDS</v>
          </cell>
        </row>
        <row r="350">
          <cell r="D350" t="str">
            <v>TTOB</v>
          </cell>
          <cell r="E350" t="str">
            <v/>
          </cell>
          <cell r="F350" t="str">
            <v>SUKOWONO SUMBERSARI</v>
          </cell>
          <cell r="G350" t="str">
            <v>R</v>
          </cell>
          <cell r="H350">
            <v>44923</v>
          </cell>
          <cell r="I350" t="str">
            <v xml:space="preserve">STANDARD </v>
          </cell>
          <cell r="J350">
            <v>2015562210</v>
          </cell>
          <cell r="K350" t="str">
            <v>SALOMO ARIEF</v>
          </cell>
          <cell r="L350" t="str">
            <v>SAL</v>
          </cell>
          <cell r="M350">
            <v>2007003858</v>
          </cell>
          <cell r="N350" t="str">
            <v>FAHRURROZZI ANDRIANSYAH</v>
          </cell>
          <cell r="O350" t="str">
            <v>FZA</v>
          </cell>
          <cell r="P350" t="str">
            <v>idmTTOB@jbr.indomaret.co.id</v>
          </cell>
          <cell r="Q350" t="str">
            <v>KAB. BONDOWOSO</v>
          </cell>
          <cell r="R350" t="str">
            <v>SDS</v>
          </cell>
        </row>
        <row r="351">
          <cell r="D351" t="str">
            <v>TWUN</v>
          </cell>
          <cell r="E351" t="str">
            <v/>
          </cell>
          <cell r="F351" t="str">
            <v>JELBUK</v>
          </cell>
          <cell r="G351" t="str">
            <v>R</v>
          </cell>
          <cell r="H351">
            <v>42454</v>
          </cell>
          <cell r="I351" t="str">
            <v>STANDARD NEW</v>
          </cell>
          <cell r="J351">
            <v>2015562210</v>
          </cell>
          <cell r="K351" t="str">
            <v>SALOMO ARIEF</v>
          </cell>
          <cell r="L351" t="str">
            <v>SAL</v>
          </cell>
          <cell r="M351">
            <v>2007003858</v>
          </cell>
          <cell r="N351" t="str">
            <v>FAHRURROZZI ANDRIANSYAH</v>
          </cell>
          <cell r="O351" t="str">
            <v>FZA</v>
          </cell>
          <cell r="P351" t="str">
            <v>idmTWUN@jbr.indomaret.co.id</v>
          </cell>
          <cell r="Q351" t="str">
            <v>KAB. JEMBER</v>
          </cell>
          <cell r="R351" t="str">
            <v>SDN</v>
          </cell>
        </row>
        <row r="352">
          <cell r="D352" t="str">
            <v>TYUU</v>
          </cell>
          <cell r="E352" t="str">
            <v>F57F</v>
          </cell>
          <cell r="F352" t="str">
            <v>MT.HARIYONO</v>
          </cell>
          <cell r="G352" t="str">
            <v>R</v>
          </cell>
          <cell r="H352">
            <v>41974</v>
          </cell>
          <cell r="I352" t="str">
            <v xml:space="preserve">STANDARD </v>
          </cell>
          <cell r="J352">
            <v>2015562210</v>
          </cell>
          <cell r="K352" t="str">
            <v>SALOMO ARIEF</v>
          </cell>
          <cell r="L352" t="str">
            <v>SAL</v>
          </cell>
          <cell r="M352">
            <v>2007003858</v>
          </cell>
          <cell r="N352" t="str">
            <v>FAHRURROZZI ANDRIANSYAH</v>
          </cell>
          <cell r="O352" t="str">
            <v>FZA</v>
          </cell>
          <cell r="P352" t="str">
            <v>idmTYUU@jbr.indomaret.co.id</v>
          </cell>
          <cell r="Q352" t="str">
            <v>KAB. BONDOWOSO</v>
          </cell>
          <cell r="R352" t="str">
            <v>SDS</v>
          </cell>
        </row>
        <row r="353">
          <cell r="D353" t="str">
            <v>F57Q</v>
          </cell>
          <cell r="E353" t="str">
            <v>TC6L</v>
          </cell>
          <cell r="F353" t="str">
            <v>MAYJEN. PANJAITAN-BONDOWO</v>
          </cell>
          <cell r="G353" t="str">
            <v>F</v>
          </cell>
          <cell r="H353">
            <v>44348</v>
          </cell>
          <cell r="I353" t="str">
            <v xml:space="preserve">STANDARD </v>
          </cell>
          <cell r="J353">
            <v>2015562210</v>
          </cell>
          <cell r="K353" t="str">
            <v>SALOMO ARIEF</v>
          </cell>
          <cell r="L353" t="str">
            <v>SAL</v>
          </cell>
          <cell r="M353">
            <v>2008420170</v>
          </cell>
          <cell r="N353" t="str">
            <v>RIO CUCUK ARIANTO</v>
          </cell>
          <cell r="O353" t="str">
            <v>RCO</v>
          </cell>
          <cell r="P353" t="str">
            <v>idF57Q@jbr.indomaret.co.id</v>
          </cell>
          <cell r="Q353" t="str">
            <v>KAB. BONDOWOSO</v>
          </cell>
          <cell r="R353" t="str">
            <v>SDS</v>
          </cell>
        </row>
        <row r="354">
          <cell r="D354" t="str">
            <v>FAZ4</v>
          </cell>
          <cell r="E354" t="str">
            <v>TL3C</v>
          </cell>
          <cell r="F354" t="str">
            <v>PUJER  BONDOWOSO</v>
          </cell>
          <cell r="G354" t="str">
            <v>F</v>
          </cell>
          <cell r="H354">
            <v>44378</v>
          </cell>
          <cell r="I354" t="str">
            <v xml:space="preserve">STANDARD </v>
          </cell>
          <cell r="J354">
            <v>2015562210</v>
          </cell>
          <cell r="K354" t="str">
            <v>SALOMO ARIEF</v>
          </cell>
          <cell r="L354" t="str">
            <v>SAL</v>
          </cell>
          <cell r="M354">
            <v>2008420170</v>
          </cell>
          <cell r="N354" t="str">
            <v>RIO CUCUK ARIANTO</v>
          </cell>
          <cell r="O354" t="str">
            <v>RCO</v>
          </cell>
          <cell r="P354" t="str">
            <v>idFAZ4@jbr.indomaret.co.id</v>
          </cell>
          <cell r="Q354" t="str">
            <v>KAB. BONDOWOSO</v>
          </cell>
          <cell r="R354" t="str">
            <v>SDS</v>
          </cell>
        </row>
        <row r="355">
          <cell r="D355" t="str">
            <v>FRCF</v>
          </cell>
          <cell r="E355"/>
          <cell r="F355" t="str">
            <v>PELITA</v>
          </cell>
          <cell r="G355" t="str">
            <v>F</v>
          </cell>
          <cell r="H355">
            <v>46083</v>
          </cell>
          <cell r="I355" t="str">
            <v xml:space="preserve">STANDARD </v>
          </cell>
          <cell r="J355">
            <v>2015562210</v>
          </cell>
          <cell r="K355" t="str">
            <v>SALOMO ARIEF</v>
          </cell>
          <cell r="L355" t="str">
            <v>SAL</v>
          </cell>
          <cell r="M355">
            <v>2008420170</v>
          </cell>
          <cell r="N355" t="str">
            <v>RIO CUCUK ARIANTO</v>
          </cell>
          <cell r="O355" t="str">
            <v>RCO</v>
          </cell>
          <cell r="P355" t="str">
            <v>idFRCF@jbr.indomaret.co.id</v>
          </cell>
          <cell r="Q355" t="str">
            <v>KAB. BONDOWOSO</v>
          </cell>
          <cell r="R355" t="str">
            <v>SDS</v>
          </cell>
        </row>
        <row r="356">
          <cell r="D356" t="str">
            <v>FV0V</v>
          </cell>
          <cell r="E356"/>
          <cell r="F356" t="str">
            <v>KOLONEL SUGIONO</v>
          </cell>
          <cell r="G356" t="str">
            <v>F</v>
          </cell>
          <cell r="H356">
            <v>46022</v>
          </cell>
          <cell r="I356" t="str">
            <v xml:space="preserve">STANDARD </v>
          </cell>
          <cell r="J356">
            <v>2015562210</v>
          </cell>
          <cell r="K356" t="str">
            <v>SALOMO ARIEF</v>
          </cell>
          <cell r="L356" t="str">
            <v>SAL</v>
          </cell>
          <cell r="M356">
            <v>2008420170</v>
          </cell>
          <cell r="N356" t="str">
            <v>RIO CUCUK ARIANTO</v>
          </cell>
          <cell r="O356" t="str">
            <v>RCO</v>
          </cell>
          <cell r="P356" t="str">
            <v>idFV0V@jbr.indomaret.co.id</v>
          </cell>
          <cell r="Q356" t="str">
            <v>KAB. BONDOWOSO</v>
          </cell>
          <cell r="R356" t="str">
            <v>SDS</v>
          </cell>
        </row>
        <row r="357">
          <cell r="D357" t="str">
            <v>TESQ</v>
          </cell>
          <cell r="E357" t="str">
            <v/>
          </cell>
          <cell r="F357" t="str">
            <v>SUKOREJO SUKOWONO</v>
          </cell>
          <cell r="G357" t="str">
            <v>R</v>
          </cell>
          <cell r="H357">
            <v>41121</v>
          </cell>
          <cell r="I357" t="str">
            <v>STANDARD NEW</v>
          </cell>
          <cell r="J357">
            <v>2015562210</v>
          </cell>
          <cell r="K357" t="str">
            <v>SALOMO ARIEF</v>
          </cell>
          <cell r="L357" t="str">
            <v>SAL</v>
          </cell>
          <cell r="M357">
            <v>2008420170</v>
          </cell>
          <cell r="N357" t="str">
            <v>RIO CUCUK ARIANTO</v>
          </cell>
          <cell r="O357" t="str">
            <v>RCO</v>
          </cell>
          <cell r="P357" t="str">
            <v>idmTESQ@jbr.indomaret.co.id</v>
          </cell>
          <cell r="Q357" t="str">
            <v>KAB. JEMBER</v>
          </cell>
          <cell r="R357" t="str">
            <v>SDN</v>
          </cell>
        </row>
        <row r="358">
          <cell r="D358" t="str">
            <v>TF63</v>
          </cell>
          <cell r="E358" t="str">
            <v/>
          </cell>
          <cell r="F358" t="str">
            <v>SUKOWONO - JEMBER</v>
          </cell>
          <cell r="G358" t="str">
            <v>R</v>
          </cell>
          <cell r="H358">
            <v>38820</v>
          </cell>
          <cell r="I358" t="str">
            <v xml:space="preserve">STANDARD </v>
          </cell>
          <cell r="J358">
            <v>2015562210</v>
          </cell>
          <cell r="K358" t="str">
            <v>SALOMO ARIEF</v>
          </cell>
          <cell r="L358" t="str">
            <v>SAL</v>
          </cell>
          <cell r="M358">
            <v>2008420170</v>
          </cell>
          <cell r="N358" t="str">
            <v>RIO CUCUK ARIANTO</v>
          </cell>
          <cell r="O358" t="str">
            <v>RCO</v>
          </cell>
          <cell r="P358" t="str">
            <v>idmTF63@jbr.indomaret.co.id</v>
          </cell>
          <cell r="Q358" t="str">
            <v>KAB. JEMBER</v>
          </cell>
          <cell r="R358" t="str">
            <v>SDS</v>
          </cell>
        </row>
        <row r="359">
          <cell r="D359" t="str">
            <v>TGVK</v>
          </cell>
          <cell r="E359" t="str">
            <v/>
          </cell>
          <cell r="F359" t="str">
            <v>RAYA TLOGOSARI</v>
          </cell>
          <cell r="G359" t="str">
            <v>R</v>
          </cell>
          <cell r="H359">
            <v>45177</v>
          </cell>
          <cell r="I359" t="str">
            <v xml:space="preserve">STANDARD </v>
          </cell>
          <cell r="J359">
            <v>2015562210</v>
          </cell>
          <cell r="K359" t="str">
            <v>SALOMO ARIEF</v>
          </cell>
          <cell r="L359" t="str">
            <v>SAL</v>
          </cell>
          <cell r="M359">
            <v>2008420170</v>
          </cell>
          <cell r="N359" t="str">
            <v>RIO CUCUK ARIANTO</v>
          </cell>
          <cell r="O359" t="str">
            <v>RCO</v>
          </cell>
          <cell r="P359" t="str">
            <v>idmTEVK@jbr.indomaret.co.id</v>
          </cell>
          <cell r="Q359" t="str">
            <v>KAB. BONDOWOSO</v>
          </cell>
          <cell r="R359" t="str">
            <v>SDS</v>
          </cell>
        </row>
        <row r="360">
          <cell r="D360" t="str">
            <v>TKQW</v>
          </cell>
          <cell r="E360" t="str">
            <v/>
          </cell>
          <cell r="F360" t="str">
            <v>RAYA TAMANAN GRUJUGAN</v>
          </cell>
          <cell r="G360" t="str">
            <v>R</v>
          </cell>
          <cell r="H360">
            <v>45453</v>
          </cell>
          <cell r="I360" t="str">
            <v xml:space="preserve">STANDARD </v>
          </cell>
          <cell r="J360">
            <v>2015562210</v>
          </cell>
          <cell r="K360" t="str">
            <v>SALOMO ARIEF</v>
          </cell>
          <cell r="L360" t="str">
            <v>SAL</v>
          </cell>
          <cell r="M360">
            <v>2008420170</v>
          </cell>
          <cell r="N360" t="str">
            <v>RIO CUCUK ARIANTO</v>
          </cell>
          <cell r="O360" t="str">
            <v>RCO</v>
          </cell>
          <cell r="P360" t="str">
            <v>idmTKQW@jbr.indomaret.co.id</v>
          </cell>
          <cell r="Q360" t="str">
            <v>KAB. BONDOWOSO</v>
          </cell>
          <cell r="R360" t="str">
            <v>SDS</v>
          </cell>
        </row>
        <row r="361">
          <cell r="D361" t="str">
            <v>TLD9</v>
          </cell>
          <cell r="E361" t="str">
            <v>FEHQ</v>
          </cell>
          <cell r="F361" t="str">
            <v>RAYA TAMANAN BONDOWOSO</v>
          </cell>
          <cell r="G361" t="str">
            <v>R</v>
          </cell>
          <cell r="H361">
            <v>41548</v>
          </cell>
          <cell r="I361" t="str">
            <v xml:space="preserve">STANDARD </v>
          </cell>
          <cell r="J361">
            <v>2015562210</v>
          </cell>
          <cell r="K361" t="str">
            <v>SALOMO ARIEF</v>
          </cell>
          <cell r="L361" t="str">
            <v>SAL</v>
          </cell>
          <cell r="M361">
            <v>2008420170</v>
          </cell>
          <cell r="N361" t="str">
            <v>RIO CUCUK ARIANTO</v>
          </cell>
          <cell r="O361" t="str">
            <v>RCO</v>
          </cell>
          <cell r="P361" t="str">
            <v>idmTLD9@jbr.indomaret.co.id</v>
          </cell>
          <cell r="Q361" t="str">
            <v>KAB. BONDOWOSO</v>
          </cell>
          <cell r="R361" t="str">
            <v>SDS</v>
          </cell>
        </row>
        <row r="362">
          <cell r="D362" t="str">
            <v>TLEN</v>
          </cell>
          <cell r="E362" t="str">
            <v>FDDM</v>
          </cell>
          <cell r="F362" t="str">
            <v>KIS MANGUNSARKORO - BDO</v>
          </cell>
          <cell r="G362" t="str">
            <v>R</v>
          </cell>
          <cell r="H362">
            <v>44075</v>
          </cell>
          <cell r="I362" t="str">
            <v>STANDARD NEW</v>
          </cell>
          <cell r="J362">
            <v>2015562210</v>
          </cell>
          <cell r="K362" t="str">
            <v>SALOMO ARIEF</v>
          </cell>
          <cell r="L362" t="str">
            <v>SAL</v>
          </cell>
          <cell r="M362">
            <v>2008420170</v>
          </cell>
          <cell r="N362" t="str">
            <v>RIO CUCUK ARIANTO</v>
          </cell>
          <cell r="O362" t="str">
            <v>RCO</v>
          </cell>
          <cell r="P362" t="str">
            <v>idMTLEN@jbr.indomaret.co.id</v>
          </cell>
          <cell r="Q362" t="str">
            <v>KAB. BONDOWOSO</v>
          </cell>
          <cell r="R362" t="str">
            <v>SDN</v>
          </cell>
        </row>
        <row r="363">
          <cell r="D363" t="str">
            <v>TNZ9</v>
          </cell>
          <cell r="E363" t="str">
            <v/>
          </cell>
          <cell r="F363" t="str">
            <v>RAYA PAKISAN</v>
          </cell>
          <cell r="G363" t="str">
            <v>R</v>
          </cell>
          <cell r="H363">
            <v>45001</v>
          </cell>
          <cell r="I363" t="str">
            <v xml:space="preserve">STANDARD </v>
          </cell>
          <cell r="J363">
            <v>2015562210</v>
          </cell>
          <cell r="K363" t="str">
            <v>SALOMO ARIEF</v>
          </cell>
          <cell r="L363" t="str">
            <v>SAL</v>
          </cell>
          <cell r="M363">
            <v>2008420170</v>
          </cell>
          <cell r="N363" t="str">
            <v>RIO CUCUK ARIANTO</v>
          </cell>
          <cell r="O363" t="str">
            <v>RCO</v>
          </cell>
          <cell r="P363" t="str">
            <v>idmTNZ9@jbr.indomaret.co.id</v>
          </cell>
          <cell r="Q363" t="str">
            <v>KAB. BONDOWOSO</v>
          </cell>
          <cell r="R363" t="str">
            <v>SDS</v>
          </cell>
        </row>
        <row r="364">
          <cell r="D364" t="str">
            <v>TTTZ</v>
          </cell>
          <cell r="E364" t="str">
            <v>FR17</v>
          </cell>
          <cell r="F364" t="str">
            <v>TAMANAN</v>
          </cell>
          <cell r="G364" t="str">
            <v>R</v>
          </cell>
          <cell r="H364">
            <v>42005</v>
          </cell>
          <cell r="I364" t="str">
            <v xml:space="preserve">STANDARD </v>
          </cell>
          <cell r="J364">
            <v>2015562210</v>
          </cell>
          <cell r="K364" t="str">
            <v>SALOMO ARIEF</v>
          </cell>
          <cell r="L364" t="str">
            <v>SAL</v>
          </cell>
          <cell r="M364">
            <v>2008420170</v>
          </cell>
          <cell r="N364" t="str">
            <v>RIO CUCUK ARIANTO</v>
          </cell>
          <cell r="O364" t="str">
            <v>RCO</v>
          </cell>
          <cell r="P364" t="str">
            <v>idmTTTZ@jbr.indomaret.co.id</v>
          </cell>
          <cell r="Q364" t="str">
            <v>KAB. BONDOWOSO</v>
          </cell>
          <cell r="R364" t="str">
            <v>SDS</v>
          </cell>
        </row>
        <row r="365">
          <cell r="D365" t="str">
            <v>TWRG</v>
          </cell>
          <cell r="E365"/>
          <cell r="F365" t="str">
            <v>KH. ABDURRAHMAN JAMBESARI</v>
          </cell>
          <cell r="G365" t="str">
            <v>R</v>
          </cell>
          <cell r="H365">
            <v>45983</v>
          </cell>
          <cell r="I365" t="str">
            <v xml:space="preserve">STANDARD </v>
          </cell>
          <cell r="J365">
            <v>2015562210</v>
          </cell>
          <cell r="K365" t="str">
            <v>SALOMO ARIEF</v>
          </cell>
          <cell r="L365" t="str">
            <v>SAL</v>
          </cell>
          <cell r="M365">
            <v>2008420170</v>
          </cell>
          <cell r="N365" t="str">
            <v>RIO CUCUK ARIANTO</v>
          </cell>
          <cell r="O365" t="str">
            <v>RCO</v>
          </cell>
          <cell r="P365" t="str">
            <v>idmTWRG@jbr.indomaret.co.id</v>
          </cell>
          <cell r="Q365" t="str">
            <v>KAB. BONDOWOSO</v>
          </cell>
          <cell r="R365" t="str">
            <v>SDS</v>
          </cell>
        </row>
        <row r="366">
          <cell r="D366" t="str">
            <v>TZ1N</v>
          </cell>
          <cell r="E366" t="str">
            <v/>
          </cell>
          <cell r="F366" t="str">
            <v>TLOGOSARI BDO</v>
          </cell>
          <cell r="G366" t="str">
            <v>R</v>
          </cell>
          <cell r="H366">
            <v>41514</v>
          </cell>
          <cell r="I366" t="str">
            <v xml:space="preserve">STANDARD </v>
          </cell>
          <cell r="J366">
            <v>2015562210</v>
          </cell>
          <cell r="K366" t="str">
            <v>SALOMO ARIEF</v>
          </cell>
          <cell r="L366" t="str">
            <v>SAL</v>
          </cell>
          <cell r="M366">
            <v>2008420170</v>
          </cell>
          <cell r="N366" t="str">
            <v>RIO CUCUK ARIANTO</v>
          </cell>
          <cell r="O366" t="str">
            <v>RCO</v>
          </cell>
          <cell r="P366" t="str">
            <v>idmTZ1N@jbr.indomaret.co.id</v>
          </cell>
          <cell r="Q366" t="str">
            <v>KAB. BONDOWOSO</v>
          </cell>
          <cell r="R366" t="str">
            <v>SDS</v>
          </cell>
        </row>
        <row r="367">
          <cell r="D367" t="str">
            <v>FFAY</v>
          </cell>
          <cell r="E367" t="str">
            <v>F61U</v>
          </cell>
          <cell r="F367" t="str">
            <v>MARON  PROBOLINGGO</v>
          </cell>
          <cell r="G367" t="str">
            <v>F</v>
          </cell>
          <cell r="H367">
            <v>45170</v>
          </cell>
          <cell r="I367" t="str">
            <v xml:space="preserve">STANDARD </v>
          </cell>
          <cell r="J367">
            <v>2010003996</v>
          </cell>
          <cell r="K367" t="str">
            <v>SOTARBAHAS HUTABALIAN</v>
          </cell>
          <cell r="L367" t="str">
            <v>SBN</v>
          </cell>
          <cell r="M367">
            <v>2013001930</v>
          </cell>
          <cell r="N367" t="str">
            <v>ANDRI NURSHOLEH</v>
          </cell>
          <cell r="O367" t="str">
            <v>ANS</v>
          </cell>
          <cell r="P367" t="str">
            <v>idFFAY@jbr.indomaret.co.id</v>
          </cell>
          <cell r="Q367" t="str">
            <v>KAB. PROBOLINGGO</v>
          </cell>
          <cell r="R367" t="str">
            <v>SDS</v>
          </cell>
        </row>
        <row r="368">
          <cell r="D368" t="str">
            <v>FFHI</v>
          </cell>
          <cell r="E368" t="str">
            <v/>
          </cell>
          <cell r="F368" t="str">
            <v>RAYA PEKALEN MARON</v>
          </cell>
          <cell r="G368" t="str">
            <v>F</v>
          </cell>
          <cell r="H368">
            <v>45534</v>
          </cell>
          <cell r="I368" t="str">
            <v xml:space="preserve">STANDARD </v>
          </cell>
          <cell r="J368">
            <v>2010003996</v>
          </cell>
          <cell r="K368" t="str">
            <v>SOTARBAHAS HUTABALIAN</v>
          </cell>
          <cell r="L368" t="str">
            <v>SBN</v>
          </cell>
          <cell r="M368">
            <v>2013001930</v>
          </cell>
          <cell r="N368" t="str">
            <v>ANDRI NURSHOLEH</v>
          </cell>
          <cell r="O368" t="str">
            <v>ANS</v>
          </cell>
          <cell r="P368" t="str">
            <v>idFFHI@jbr.indomaret.co.id</v>
          </cell>
          <cell r="Q368" t="str">
            <v>KAB. PROBOLINGGO</v>
          </cell>
          <cell r="R368" t="str">
            <v>SDS</v>
          </cell>
        </row>
        <row r="369">
          <cell r="D369" t="str">
            <v>FP00</v>
          </cell>
          <cell r="E369" t="str">
            <v>TA51</v>
          </cell>
          <cell r="F369" t="str">
            <v>GENDING</v>
          </cell>
          <cell r="G369" t="str">
            <v>F</v>
          </cell>
          <cell r="H369">
            <v>45566</v>
          </cell>
          <cell r="I369" t="str">
            <v xml:space="preserve">STANDARD </v>
          </cell>
          <cell r="J369">
            <v>2010003996</v>
          </cell>
          <cell r="K369" t="str">
            <v>SOTARBAHAS HUTABALIAN</v>
          </cell>
          <cell r="L369" t="str">
            <v>SBN</v>
          </cell>
          <cell r="M369">
            <v>2013001930</v>
          </cell>
          <cell r="N369" t="str">
            <v>ANDRI NURSHOLEH</v>
          </cell>
          <cell r="O369" t="str">
            <v>ANS</v>
          </cell>
          <cell r="P369" t="str">
            <v>idFP00@jbr.indomaret.co.id</v>
          </cell>
          <cell r="Q369" t="str">
            <v>KAB. PROBOLINGGO</v>
          </cell>
          <cell r="R369" t="str">
            <v>SDS</v>
          </cell>
        </row>
        <row r="370">
          <cell r="D370" t="str">
            <v>TAHH</v>
          </cell>
          <cell r="E370" t="str">
            <v/>
          </cell>
          <cell r="F370" t="str">
            <v>GENDING 227 PBO</v>
          </cell>
          <cell r="G370" t="str">
            <v>R</v>
          </cell>
          <cell r="H370">
            <v>41835</v>
          </cell>
          <cell r="I370" t="str">
            <v xml:space="preserve">STANDARD </v>
          </cell>
          <cell r="J370">
            <v>2010003996</v>
          </cell>
          <cell r="K370" t="str">
            <v>SOTARBAHAS HUTABALIAN</v>
          </cell>
          <cell r="L370" t="str">
            <v>SBN</v>
          </cell>
          <cell r="M370">
            <v>2013001930</v>
          </cell>
          <cell r="N370" t="str">
            <v>ANDRI NURSHOLEH</v>
          </cell>
          <cell r="O370" t="str">
            <v>ANS</v>
          </cell>
          <cell r="P370" t="str">
            <v>idmTAHH@jbr.indomaret.co.id</v>
          </cell>
          <cell r="Q370" t="str">
            <v>KAB. PROBOLINGGO</v>
          </cell>
          <cell r="R370" t="str">
            <v>SDS</v>
          </cell>
        </row>
        <row r="371">
          <cell r="D371" t="str">
            <v>TPVQ</v>
          </cell>
          <cell r="E371" t="str">
            <v/>
          </cell>
          <cell r="F371" t="str">
            <v>KARANGPRANTI</v>
          </cell>
          <cell r="G371" t="str">
            <v>R</v>
          </cell>
          <cell r="H371">
            <v>44093</v>
          </cell>
          <cell r="I371" t="str">
            <v xml:space="preserve">STANDARD </v>
          </cell>
          <cell r="J371">
            <v>2010003996</v>
          </cell>
          <cell r="K371" t="str">
            <v>SOTARBAHAS HUTABALIAN</v>
          </cell>
          <cell r="L371" t="str">
            <v>SBN</v>
          </cell>
          <cell r="M371">
            <v>2013001930</v>
          </cell>
          <cell r="N371" t="str">
            <v>ANDRI NURSHOLEH</v>
          </cell>
          <cell r="O371" t="str">
            <v>ANS</v>
          </cell>
          <cell r="P371" t="str">
            <v>idmTPVQ@jbr.indomaret.co.id</v>
          </cell>
          <cell r="Q371" t="str">
            <v>KAB. PROBOLINGGO</v>
          </cell>
          <cell r="R371" t="str">
            <v>SDS</v>
          </cell>
        </row>
        <row r="372">
          <cell r="D372" t="str">
            <v>TUWD</v>
          </cell>
          <cell r="E372" t="str">
            <v/>
          </cell>
          <cell r="F372" t="str">
            <v>MARON WETAN</v>
          </cell>
          <cell r="G372" t="str">
            <v>R</v>
          </cell>
          <cell r="H372">
            <v>45653</v>
          </cell>
          <cell r="I372" t="str">
            <v xml:space="preserve">STANDARD </v>
          </cell>
          <cell r="J372">
            <v>2010003996</v>
          </cell>
          <cell r="K372" t="str">
            <v>SOTARBAHAS HUTABALIAN</v>
          </cell>
          <cell r="L372" t="str">
            <v>SBN</v>
          </cell>
          <cell r="M372">
            <v>2013001930</v>
          </cell>
          <cell r="N372" t="str">
            <v>ANDRI NURSHOLEH</v>
          </cell>
          <cell r="O372" t="str">
            <v>ANS</v>
          </cell>
          <cell r="P372" t="str">
            <v>idmTUWD@jbr.indomaret.co.id</v>
          </cell>
          <cell r="Q372" t="str">
            <v>KAB. PROBOLINGGO</v>
          </cell>
          <cell r="R372" t="str">
            <v>SDS</v>
          </cell>
        </row>
        <row r="373">
          <cell r="D373" t="str">
            <v>TZ0G</v>
          </cell>
          <cell r="E373" t="str">
            <v/>
          </cell>
          <cell r="F373" t="str">
            <v>RAYA SEBAUNG</v>
          </cell>
          <cell r="G373" t="str">
            <v>R</v>
          </cell>
          <cell r="H373">
            <v>45560</v>
          </cell>
          <cell r="I373" t="str">
            <v xml:space="preserve">STANDARD </v>
          </cell>
          <cell r="J373">
            <v>2010003996</v>
          </cell>
          <cell r="K373" t="str">
            <v>SOTARBAHAS HUTABALIAN</v>
          </cell>
          <cell r="L373" t="str">
            <v>SBN</v>
          </cell>
          <cell r="M373">
            <v>2013001930</v>
          </cell>
          <cell r="N373" t="str">
            <v>ANDRI NURSHOLEH</v>
          </cell>
          <cell r="O373" t="str">
            <v>ANS</v>
          </cell>
          <cell r="P373" t="str">
            <v>idmTZ0G@jbr.indomaret.co.id</v>
          </cell>
          <cell r="Q373" t="str">
            <v>KAB. PROBOLINGGO</v>
          </cell>
          <cell r="R373" t="str">
            <v>SDS</v>
          </cell>
        </row>
        <row r="374">
          <cell r="D374" t="str">
            <v>TZFN</v>
          </cell>
          <cell r="E374"/>
          <cell r="F374" t="str">
            <v>RAYA KLENANG</v>
          </cell>
          <cell r="G374" t="str">
            <v>R</v>
          </cell>
          <cell r="H374">
            <v>45991</v>
          </cell>
          <cell r="I374" t="str">
            <v xml:space="preserve">STANDARD </v>
          </cell>
          <cell r="J374">
            <v>2010003996</v>
          </cell>
          <cell r="K374" t="str">
            <v>SOTARBAHAS HUTABALIAN</v>
          </cell>
          <cell r="L374" t="str">
            <v>SBN</v>
          </cell>
          <cell r="M374">
            <v>2013001930</v>
          </cell>
          <cell r="N374" t="str">
            <v>ANDRI NURSHOLEH</v>
          </cell>
          <cell r="O374" t="str">
            <v>ANS</v>
          </cell>
          <cell r="P374" t="str">
            <v>idmTZFN@jbr.indomaret.co.id</v>
          </cell>
          <cell r="Q374" t="str">
            <v>KAB. PROBOLINGGO</v>
          </cell>
          <cell r="R374" t="str">
            <v>SDS</v>
          </cell>
        </row>
        <row r="375">
          <cell r="D375" t="str">
            <v>FA3I</v>
          </cell>
          <cell r="E375" t="str">
            <v/>
          </cell>
          <cell r="F375" t="str">
            <v>A. YANI 35</v>
          </cell>
          <cell r="G375" t="str">
            <v>F</v>
          </cell>
          <cell r="H375">
            <v>44616</v>
          </cell>
          <cell r="I375" t="str">
            <v xml:space="preserve">STANDARD </v>
          </cell>
          <cell r="J375">
            <v>2010003996</v>
          </cell>
          <cell r="K375" t="str">
            <v>SOTARBAHAS HUTABALIAN</v>
          </cell>
          <cell r="L375" t="str">
            <v>SBN</v>
          </cell>
          <cell r="M375">
            <v>2006003896</v>
          </cell>
          <cell r="N375" t="str">
            <v>FAJAR SURYOHADI</v>
          </cell>
          <cell r="O375" t="str">
            <v>FSI</v>
          </cell>
          <cell r="P375" t="str">
            <v>idFA3I@jbr.indomaret.co.id</v>
          </cell>
          <cell r="Q375" t="str">
            <v>KAB. LUMAJANG</v>
          </cell>
          <cell r="R375" t="str">
            <v>SDS</v>
          </cell>
        </row>
        <row r="376">
          <cell r="D376" t="str">
            <v>FDOJ</v>
          </cell>
          <cell r="E376" t="str">
            <v>TTSR</v>
          </cell>
          <cell r="F376" t="str">
            <v>KARANG ANOM</v>
          </cell>
          <cell r="G376" t="str">
            <v>F</v>
          </cell>
          <cell r="H376">
            <v>45748</v>
          </cell>
          <cell r="I376" t="str">
            <v xml:space="preserve">STANDARD </v>
          </cell>
          <cell r="J376">
            <v>2010003996</v>
          </cell>
          <cell r="K376" t="str">
            <v>SOTARBAHAS HUTABALIAN</v>
          </cell>
          <cell r="L376" t="str">
            <v>SBN</v>
          </cell>
          <cell r="M376">
            <v>2006003896</v>
          </cell>
          <cell r="N376" t="str">
            <v>FAJAR SURYOHADI</v>
          </cell>
          <cell r="O376" t="str">
            <v>FSI</v>
          </cell>
          <cell r="P376" t="str">
            <v>idFDOJ@jbr.indomaret.co.id</v>
          </cell>
          <cell r="Q376" t="str">
            <v>KAB. LUMAJANG</v>
          </cell>
          <cell r="R376" t="str">
            <v>SDS</v>
          </cell>
        </row>
        <row r="377">
          <cell r="D377" t="str">
            <v>FLUK</v>
          </cell>
          <cell r="E377" t="str">
            <v/>
          </cell>
          <cell r="F377" t="str">
            <v>MAHAKAM</v>
          </cell>
          <cell r="G377" t="str">
            <v>F</v>
          </cell>
          <cell r="H377">
            <v>44530</v>
          </cell>
          <cell r="I377" t="str">
            <v xml:space="preserve">STANDARD </v>
          </cell>
          <cell r="J377">
            <v>2010003996</v>
          </cell>
          <cell r="K377" t="str">
            <v>SOTARBAHAS HUTABALIAN</v>
          </cell>
          <cell r="L377" t="str">
            <v>SBN</v>
          </cell>
          <cell r="M377">
            <v>2006003896</v>
          </cell>
          <cell r="N377" t="str">
            <v>FAJAR SURYOHADI</v>
          </cell>
          <cell r="O377" t="str">
            <v>FSI</v>
          </cell>
          <cell r="P377" t="str">
            <v>idFLUK@jbr.indomaret.co.id</v>
          </cell>
          <cell r="Q377" t="str">
            <v>KAB. LUMAJANG</v>
          </cell>
          <cell r="R377" t="str">
            <v>SDS</v>
          </cell>
        </row>
        <row r="378">
          <cell r="D378" t="str">
            <v>FMFE</v>
          </cell>
          <cell r="E378" t="str">
            <v>F11E</v>
          </cell>
          <cell r="F378" t="str">
            <v>SENDURO LUMAJANG</v>
          </cell>
          <cell r="G378" t="str">
            <v>F</v>
          </cell>
          <cell r="H378">
            <v>45474</v>
          </cell>
          <cell r="I378" t="str">
            <v xml:space="preserve">STANDARD </v>
          </cell>
          <cell r="J378">
            <v>2010003996</v>
          </cell>
          <cell r="K378" t="str">
            <v>SOTARBAHAS HUTABALIAN</v>
          </cell>
          <cell r="L378" t="str">
            <v>SBN</v>
          </cell>
          <cell r="M378">
            <v>2006003896</v>
          </cell>
          <cell r="N378" t="str">
            <v>FAJAR SURYOHADI</v>
          </cell>
          <cell r="O378" t="str">
            <v>FSI</v>
          </cell>
          <cell r="P378" t="str">
            <v>idF11E@jbr.indomaret.co.id</v>
          </cell>
          <cell r="Q378" t="str">
            <v>KAB. LUMAJANG</v>
          </cell>
          <cell r="R378" t="str">
            <v>SDS</v>
          </cell>
        </row>
        <row r="379">
          <cell r="D379" t="str">
            <v>FRVU</v>
          </cell>
          <cell r="E379" t="str">
            <v>TA63</v>
          </cell>
          <cell r="F379" t="str">
            <v>LABRUK  - LUMAJANG</v>
          </cell>
          <cell r="G379" t="str">
            <v>F</v>
          </cell>
          <cell r="H379">
            <v>44562</v>
          </cell>
          <cell r="I379" t="str">
            <v xml:space="preserve">STANDARD </v>
          </cell>
          <cell r="J379">
            <v>2010003996</v>
          </cell>
          <cell r="K379" t="str">
            <v>SOTARBAHAS HUTABALIAN</v>
          </cell>
          <cell r="L379" t="str">
            <v>SBN</v>
          </cell>
          <cell r="M379">
            <v>2006003896</v>
          </cell>
          <cell r="N379" t="str">
            <v>FAJAR SURYOHADI</v>
          </cell>
          <cell r="O379" t="str">
            <v>FSI</v>
          </cell>
          <cell r="P379" t="str">
            <v>idFRVU@jbr.indomaret.co.id</v>
          </cell>
          <cell r="Q379" t="str">
            <v>KAB. LUMAJANG</v>
          </cell>
          <cell r="R379" t="str">
            <v>SDS</v>
          </cell>
        </row>
        <row r="380">
          <cell r="D380" t="str">
            <v>FSEN</v>
          </cell>
          <cell r="E380" t="str">
            <v/>
          </cell>
          <cell r="F380" t="str">
            <v>SEMERU</v>
          </cell>
          <cell r="G380" t="str">
            <v>F</v>
          </cell>
          <cell r="H380">
            <v>44439</v>
          </cell>
          <cell r="I380" t="str">
            <v xml:space="preserve">STANDARD </v>
          </cell>
          <cell r="J380">
            <v>2010003996</v>
          </cell>
          <cell r="K380" t="str">
            <v>SOTARBAHAS HUTABALIAN</v>
          </cell>
          <cell r="L380" t="str">
            <v>SBN</v>
          </cell>
          <cell r="M380">
            <v>2006003896</v>
          </cell>
          <cell r="N380" t="str">
            <v>FAJAR SURYOHADI</v>
          </cell>
          <cell r="O380" t="str">
            <v>FSI</v>
          </cell>
          <cell r="P380" t="str">
            <v>idFSEN@jbr.indomaret.co.id</v>
          </cell>
          <cell r="Q380" t="str">
            <v>KAB. LUMAJANG</v>
          </cell>
          <cell r="R380" t="str">
            <v>SDS</v>
          </cell>
        </row>
        <row r="381">
          <cell r="D381" t="str">
            <v>TADN</v>
          </cell>
          <cell r="E381" t="str">
            <v/>
          </cell>
          <cell r="F381" t="str">
            <v>PB SUDIRMAN KUNIR</v>
          </cell>
          <cell r="G381" t="str">
            <v>R</v>
          </cell>
          <cell r="H381">
            <v>42609</v>
          </cell>
          <cell r="I381" t="str">
            <v xml:space="preserve">STANDARD </v>
          </cell>
          <cell r="J381">
            <v>2010003996</v>
          </cell>
          <cell r="K381" t="str">
            <v>SOTARBAHAS HUTABALIAN</v>
          </cell>
          <cell r="L381" t="str">
            <v>SBN</v>
          </cell>
          <cell r="M381">
            <v>2006003896</v>
          </cell>
          <cell r="N381" t="str">
            <v>FAJAR SURYOHADI</v>
          </cell>
          <cell r="O381" t="str">
            <v>FSI</v>
          </cell>
          <cell r="P381" t="str">
            <v>idmTADN@jbr.indomaret.co.id</v>
          </cell>
          <cell r="Q381" t="str">
            <v>KAB. LUMAJANG</v>
          </cell>
          <cell r="R381" t="str">
            <v>SDS</v>
          </cell>
        </row>
        <row r="382">
          <cell r="D382" t="str">
            <v>TEAQ</v>
          </cell>
          <cell r="E382" t="str">
            <v/>
          </cell>
          <cell r="F382" t="str">
            <v>PURWOSONO</v>
          </cell>
          <cell r="G382" t="str">
            <v>R</v>
          </cell>
          <cell r="H382">
            <v>42704</v>
          </cell>
          <cell r="I382" t="str">
            <v xml:space="preserve">STANDARD </v>
          </cell>
          <cell r="J382">
            <v>2010003996</v>
          </cell>
          <cell r="K382" t="str">
            <v>SOTARBAHAS HUTABALIAN</v>
          </cell>
          <cell r="L382" t="str">
            <v>SBN</v>
          </cell>
          <cell r="M382">
            <v>2006003896</v>
          </cell>
          <cell r="N382" t="str">
            <v>FAJAR SURYOHADI</v>
          </cell>
          <cell r="O382" t="str">
            <v>FSI</v>
          </cell>
          <cell r="P382" t="str">
            <v>idmTEAQ@jbr.indomaret.co.id</v>
          </cell>
          <cell r="Q382" t="str">
            <v>KAB. LUMAJANG</v>
          </cell>
          <cell r="R382" t="str">
            <v>SDS</v>
          </cell>
        </row>
        <row r="383">
          <cell r="D383" t="str">
            <v>TIOO</v>
          </cell>
          <cell r="E383" t="str">
            <v/>
          </cell>
          <cell r="F383" t="str">
            <v>KANDANG TEPUS</v>
          </cell>
          <cell r="G383" t="str">
            <v>R</v>
          </cell>
          <cell r="H383">
            <v>43399</v>
          </cell>
          <cell r="I383" t="str">
            <v xml:space="preserve">STANDARD </v>
          </cell>
          <cell r="J383">
            <v>2010003996</v>
          </cell>
          <cell r="K383" t="str">
            <v>SOTARBAHAS HUTABALIAN</v>
          </cell>
          <cell r="L383" t="str">
            <v>SBN</v>
          </cell>
          <cell r="M383">
            <v>2006003896</v>
          </cell>
          <cell r="N383" t="str">
            <v>FAJAR SURYOHADI</v>
          </cell>
          <cell r="O383" t="str">
            <v>FSI</v>
          </cell>
          <cell r="P383" t="str">
            <v>idmTIOO@jbr.indomaret.co.id</v>
          </cell>
          <cell r="Q383" t="str">
            <v>KAB. LUMAJANG</v>
          </cell>
          <cell r="R383" t="str">
            <v>SDS</v>
          </cell>
        </row>
        <row r="384">
          <cell r="D384" t="str">
            <v>TLMB</v>
          </cell>
          <cell r="E384" t="str">
            <v/>
          </cell>
          <cell r="F384" t="str">
            <v>PISANG AGUNG</v>
          </cell>
          <cell r="G384" t="str">
            <v>R</v>
          </cell>
          <cell r="H384">
            <v>42728</v>
          </cell>
          <cell r="I384" t="str">
            <v xml:space="preserve">STANDARD </v>
          </cell>
          <cell r="J384">
            <v>2010003996</v>
          </cell>
          <cell r="K384" t="str">
            <v>SOTARBAHAS HUTABALIAN</v>
          </cell>
          <cell r="L384" t="str">
            <v>SBN</v>
          </cell>
          <cell r="M384">
            <v>2006003896</v>
          </cell>
          <cell r="N384" t="str">
            <v>FAJAR SURYOHADI</v>
          </cell>
          <cell r="O384" t="str">
            <v>FSI</v>
          </cell>
          <cell r="P384" t="str">
            <v>idmTLMB@jbr.indomaret.co.id</v>
          </cell>
          <cell r="Q384" t="str">
            <v>KAB. LUMAJANG</v>
          </cell>
          <cell r="R384" t="str">
            <v>SDS</v>
          </cell>
        </row>
        <row r="385">
          <cell r="D385" t="str">
            <v>TOCI</v>
          </cell>
          <cell r="E385" t="str">
            <v/>
          </cell>
          <cell r="F385" t="str">
            <v>KEBONSARI SUMBERSUKO</v>
          </cell>
          <cell r="G385" t="str">
            <v>R</v>
          </cell>
          <cell r="H385">
            <v>42643</v>
          </cell>
          <cell r="I385" t="str">
            <v xml:space="preserve">STANDARD </v>
          </cell>
          <cell r="J385">
            <v>2010003996</v>
          </cell>
          <cell r="K385" t="str">
            <v>SOTARBAHAS HUTABALIAN</v>
          </cell>
          <cell r="L385" t="str">
            <v>SBN</v>
          </cell>
          <cell r="M385">
            <v>2006003896</v>
          </cell>
          <cell r="N385" t="str">
            <v>FAJAR SURYOHADI</v>
          </cell>
          <cell r="O385" t="str">
            <v>FSI</v>
          </cell>
          <cell r="P385" t="str">
            <v>idmTOCI@jbr.indomaret.co.id</v>
          </cell>
          <cell r="Q385" t="str">
            <v>KAB. LUMAJANG</v>
          </cell>
          <cell r="R385" t="str">
            <v>SDS</v>
          </cell>
        </row>
        <row r="386">
          <cell r="D386" t="str">
            <v>TRGE</v>
          </cell>
          <cell r="E386" t="str">
            <v>R3MM</v>
          </cell>
          <cell r="F386" t="str">
            <v>DAWUHAN LOR - LUMAJANG</v>
          </cell>
          <cell r="G386" t="str">
            <v>R</v>
          </cell>
          <cell r="H386">
            <v>43009</v>
          </cell>
          <cell r="I386" t="str">
            <v xml:space="preserve">STANDARD </v>
          </cell>
          <cell r="J386">
            <v>2010003996</v>
          </cell>
          <cell r="K386" t="str">
            <v>SOTARBAHAS HUTABALIAN</v>
          </cell>
          <cell r="L386" t="str">
            <v>SBN</v>
          </cell>
          <cell r="M386">
            <v>2006003896</v>
          </cell>
          <cell r="N386" t="str">
            <v>FAJAR SURYOHADI</v>
          </cell>
          <cell r="O386" t="str">
            <v>FSI</v>
          </cell>
          <cell r="P386" t="str">
            <v>idmTRGE@jbr.indomaret.co.id</v>
          </cell>
          <cell r="Q386" t="str">
            <v>KAB. LUMAJANG</v>
          </cell>
          <cell r="R386" t="str">
            <v>SDS</v>
          </cell>
        </row>
        <row r="387">
          <cell r="D387" t="str">
            <v>TUHN</v>
          </cell>
          <cell r="E387" t="str">
            <v>F92C</v>
          </cell>
          <cell r="F387" t="str">
            <v>KUNIR</v>
          </cell>
          <cell r="G387" t="str">
            <v>R</v>
          </cell>
          <cell r="H387">
            <v>39845</v>
          </cell>
          <cell r="I387" t="str">
            <v xml:space="preserve">STANDARD </v>
          </cell>
          <cell r="J387">
            <v>2010003996</v>
          </cell>
          <cell r="K387" t="str">
            <v>SOTARBAHAS HUTABALIAN</v>
          </cell>
          <cell r="L387" t="str">
            <v>SBN</v>
          </cell>
          <cell r="M387">
            <v>2006003896</v>
          </cell>
          <cell r="N387" t="str">
            <v>FAJAR SURYOHADI</v>
          </cell>
          <cell r="O387" t="str">
            <v>FSI</v>
          </cell>
          <cell r="P387" t="str">
            <v>idmTUHN@jbr.indomaret.co.id</v>
          </cell>
          <cell r="Q387" t="str">
            <v>KAB. LUMAJANG</v>
          </cell>
          <cell r="R387" t="str">
            <v>SDS</v>
          </cell>
        </row>
        <row r="388">
          <cell r="D388" t="str">
            <v>TVQE</v>
          </cell>
          <cell r="E388" t="str">
            <v/>
          </cell>
          <cell r="F388" t="str">
            <v>JATIGONO</v>
          </cell>
          <cell r="G388" t="str">
            <v>R</v>
          </cell>
          <cell r="H388">
            <v>43399</v>
          </cell>
          <cell r="I388" t="str">
            <v xml:space="preserve">STANDARD </v>
          </cell>
          <cell r="J388">
            <v>2010003996</v>
          </cell>
          <cell r="K388" t="str">
            <v>SOTARBAHAS HUTABALIAN</v>
          </cell>
          <cell r="L388" t="str">
            <v>SBN</v>
          </cell>
          <cell r="M388">
            <v>2006003896</v>
          </cell>
          <cell r="N388" t="str">
            <v>FAJAR SURYOHADI</v>
          </cell>
          <cell r="O388" t="str">
            <v>FSI</v>
          </cell>
          <cell r="P388" t="str">
            <v>idmTVQE@jbr.indomaret.co.id</v>
          </cell>
          <cell r="Q388" t="str">
            <v>KAB. LUMAJANG</v>
          </cell>
          <cell r="R388" t="str">
            <v>SDS</v>
          </cell>
        </row>
        <row r="389">
          <cell r="D389" t="str">
            <v>F24R</v>
          </cell>
          <cell r="E389" t="str">
            <v>F972</v>
          </cell>
          <cell r="F389" t="str">
            <v>LECES PROBOLINGGO</v>
          </cell>
          <cell r="G389" t="str">
            <v>F</v>
          </cell>
          <cell r="H389">
            <v>44774</v>
          </cell>
          <cell r="I389" t="str">
            <v xml:space="preserve">STANDARD </v>
          </cell>
          <cell r="J389">
            <v>2010003996</v>
          </cell>
          <cell r="K389" t="str">
            <v>SOTARBAHAS HUTABALIAN</v>
          </cell>
          <cell r="L389" t="str">
            <v>SBN</v>
          </cell>
          <cell r="M389">
            <v>2008420232</v>
          </cell>
          <cell r="N389" t="str">
            <v>RISKI FERI FRIANDOKO</v>
          </cell>
          <cell r="O389" t="str">
            <v>RFO</v>
          </cell>
          <cell r="P389" t="str">
            <v>idF24R@jbr.indomaret.co.id</v>
          </cell>
          <cell r="Q389" t="str">
            <v>KAB. PROBOLINGGO</v>
          </cell>
          <cell r="R389" t="str">
            <v>SDS</v>
          </cell>
        </row>
        <row r="390">
          <cell r="D390" t="str">
            <v>FNBF</v>
          </cell>
          <cell r="E390" t="str">
            <v>T8AL</v>
          </cell>
          <cell r="F390" t="str">
            <v>LETJEN SUTOYO -  LUMAJANG</v>
          </cell>
          <cell r="G390" t="str">
            <v>F</v>
          </cell>
          <cell r="H390">
            <v>45352</v>
          </cell>
          <cell r="I390" t="str">
            <v xml:space="preserve">STANDARD </v>
          </cell>
          <cell r="J390">
            <v>2010003996</v>
          </cell>
          <cell r="K390" t="str">
            <v>SOTARBAHAS HUTABALIAN</v>
          </cell>
          <cell r="L390" t="str">
            <v>SBN</v>
          </cell>
          <cell r="M390">
            <v>2008420232</v>
          </cell>
          <cell r="N390" t="str">
            <v>RISKI FERI FRIANDOKO</v>
          </cell>
          <cell r="O390" t="str">
            <v>RFO</v>
          </cell>
          <cell r="P390" t="str">
            <v>idFNBF@jbr.indomaret.co.id</v>
          </cell>
          <cell r="Q390" t="str">
            <v>KAB. LUMAJANG</v>
          </cell>
          <cell r="R390" t="str">
            <v>SDS</v>
          </cell>
        </row>
        <row r="391">
          <cell r="D391" t="str">
            <v>FNFM</v>
          </cell>
          <cell r="E391" t="str">
            <v>TAL8</v>
          </cell>
          <cell r="F391" t="str">
            <v>LECES 2 - PROBOLINGGO</v>
          </cell>
          <cell r="G391" t="str">
            <v>F</v>
          </cell>
          <cell r="H391">
            <v>44713</v>
          </cell>
          <cell r="I391" t="str">
            <v xml:space="preserve">STANDARD </v>
          </cell>
          <cell r="J391">
            <v>2010003996</v>
          </cell>
          <cell r="K391" t="str">
            <v>SOTARBAHAS HUTABALIAN</v>
          </cell>
          <cell r="L391" t="str">
            <v>SBN</v>
          </cell>
          <cell r="M391">
            <v>2008420232</v>
          </cell>
          <cell r="N391" t="str">
            <v>RISKI FERI FRIANDOKO</v>
          </cell>
          <cell r="O391" t="str">
            <v>RFO</v>
          </cell>
          <cell r="P391" t="str">
            <v>idFNFM@jbr.indomaret.co.id</v>
          </cell>
          <cell r="Q391" t="str">
            <v>KAB. PROBOLINGGO</v>
          </cell>
          <cell r="R391" t="str">
            <v>SDS</v>
          </cell>
        </row>
        <row r="392">
          <cell r="D392" t="str">
            <v>FZQ1</v>
          </cell>
          <cell r="E392" t="str">
            <v>TA74</v>
          </cell>
          <cell r="F392" t="str">
            <v>WONOREJO</v>
          </cell>
          <cell r="G392" t="str">
            <v>F</v>
          </cell>
          <cell r="H392">
            <v>44287</v>
          </cell>
          <cell r="I392" t="str">
            <v xml:space="preserve">STANDARD </v>
          </cell>
          <cell r="J392">
            <v>2010003996</v>
          </cell>
          <cell r="K392" t="str">
            <v>SOTARBAHAS HUTABALIAN</v>
          </cell>
          <cell r="L392" t="str">
            <v>SBN</v>
          </cell>
          <cell r="M392">
            <v>2008420232</v>
          </cell>
          <cell r="N392" t="str">
            <v>RISKI FERI FRIANDOKO</v>
          </cell>
          <cell r="O392" t="str">
            <v>RFO</v>
          </cell>
          <cell r="P392" t="str">
            <v>idFZQ1@jbr.indomaret.co.id</v>
          </cell>
          <cell r="Q392" t="str">
            <v>KAB. LUMAJANG</v>
          </cell>
          <cell r="R392" t="str">
            <v>SDS</v>
          </cell>
        </row>
        <row r="393">
          <cell r="D393" t="str">
            <v>T13W</v>
          </cell>
          <cell r="E393" t="str">
            <v/>
          </cell>
          <cell r="F393" t="str">
            <v>RAYA LECES KM 13</v>
          </cell>
          <cell r="G393" t="str">
            <v>R</v>
          </cell>
          <cell r="H393">
            <v>45076</v>
          </cell>
          <cell r="I393" t="str">
            <v xml:space="preserve">STANDARD </v>
          </cell>
          <cell r="J393">
            <v>2010003996</v>
          </cell>
          <cell r="K393" t="str">
            <v>SOTARBAHAS HUTABALIAN</v>
          </cell>
          <cell r="L393" t="str">
            <v>SBN</v>
          </cell>
          <cell r="M393">
            <v>2008420232</v>
          </cell>
          <cell r="N393" t="str">
            <v>RISKI FERI FRIANDOKO</v>
          </cell>
          <cell r="O393" t="str">
            <v>RFO</v>
          </cell>
          <cell r="P393" t="str">
            <v>idmT13W@jbr.indomaret.co.id</v>
          </cell>
          <cell r="Q393" t="str">
            <v>KAB. PROBOLINGGO</v>
          </cell>
          <cell r="R393" t="str">
            <v>SDS</v>
          </cell>
        </row>
        <row r="394">
          <cell r="D394" t="str">
            <v>TBEK</v>
          </cell>
          <cell r="E394" t="str">
            <v>FU2B</v>
          </cell>
          <cell r="F394" t="str">
            <v>RANUYOSO  -  LUMAJANG</v>
          </cell>
          <cell r="G394" t="str">
            <v>R</v>
          </cell>
          <cell r="H394">
            <v>44621</v>
          </cell>
          <cell r="I394" t="str">
            <v xml:space="preserve">STANDARD </v>
          </cell>
          <cell r="J394">
            <v>2010003996</v>
          </cell>
          <cell r="K394" t="str">
            <v>SOTARBAHAS HUTABALIAN</v>
          </cell>
          <cell r="L394" t="str">
            <v>SBN</v>
          </cell>
          <cell r="M394">
            <v>2008420232</v>
          </cell>
          <cell r="N394" t="str">
            <v>RISKI FERI FRIANDOKO</v>
          </cell>
          <cell r="O394" t="str">
            <v>RFO</v>
          </cell>
          <cell r="P394" t="str">
            <v>idmTBEK@jbr.indomaret.co.id</v>
          </cell>
          <cell r="Q394" t="str">
            <v>KAB. LUMAJANG</v>
          </cell>
          <cell r="R394" t="str">
            <v>SDS</v>
          </cell>
        </row>
        <row r="395">
          <cell r="D395" t="str">
            <v>TBJI</v>
          </cell>
          <cell r="E395" t="str">
            <v/>
          </cell>
          <cell r="F395" t="str">
            <v>SPBU PROBOLINGGO KM 19</v>
          </cell>
          <cell r="G395" t="str">
            <v>R</v>
          </cell>
          <cell r="H395">
            <v>42838</v>
          </cell>
          <cell r="I395" t="str">
            <v xml:space="preserve">STANDARD </v>
          </cell>
          <cell r="J395">
            <v>2010003996</v>
          </cell>
          <cell r="K395" t="str">
            <v>SOTARBAHAS HUTABALIAN</v>
          </cell>
          <cell r="L395" t="str">
            <v>SBN</v>
          </cell>
          <cell r="M395">
            <v>2008420232</v>
          </cell>
          <cell r="N395" t="str">
            <v>RISKI FERI FRIANDOKO</v>
          </cell>
          <cell r="O395" t="str">
            <v>RFO</v>
          </cell>
          <cell r="P395" t="str">
            <v>idmTBJI@jbr.indomaret.co.id</v>
          </cell>
          <cell r="Q395" t="str">
            <v>KAB. PROBOLINGGO</v>
          </cell>
          <cell r="R395" t="str">
            <v>SDS</v>
          </cell>
        </row>
        <row r="396">
          <cell r="D396" t="str">
            <v>TCQW</v>
          </cell>
          <cell r="E396" t="str">
            <v/>
          </cell>
          <cell r="F396" t="str">
            <v>POINT REST AREA KM 833 B - PBO</v>
          </cell>
          <cell r="G396" t="str">
            <v>R</v>
          </cell>
          <cell r="H396">
            <v>43616</v>
          </cell>
          <cell r="I396" t="str">
            <v>MATRIX CONVINIENCE KHUSUS</v>
          </cell>
          <cell r="J396">
            <v>2010003996</v>
          </cell>
          <cell r="K396" t="str">
            <v>SOTARBAHAS HUTABALIAN</v>
          </cell>
          <cell r="L396" t="str">
            <v>SBN</v>
          </cell>
          <cell r="M396">
            <v>2008420232</v>
          </cell>
          <cell r="N396" t="str">
            <v>RISKI FERI FRIANDOKO</v>
          </cell>
          <cell r="O396" t="str">
            <v>RFO</v>
          </cell>
          <cell r="P396" t="str">
            <v>idmTCQW@jbr.indomaret.co.id</v>
          </cell>
          <cell r="Q396" t="str">
            <v>KAB. PROBOLINGGO</v>
          </cell>
          <cell r="R396" t="str">
            <v>MCK</v>
          </cell>
        </row>
        <row r="397">
          <cell r="D397" t="str">
            <v>TGTG</v>
          </cell>
          <cell r="E397" t="str">
            <v/>
          </cell>
          <cell r="F397" t="str">
            <v>SOEKARNO HATTA</v>
          </cell>
          <cell r="G397" t="str">
            <v>R</v>
          </cell>
          <cell r="H397">
            <v>45617</v>
          </cell>
          <cell r="I397" t="str">
            <v xml:space="preserve">STANDARD </v>
          </cell>
          <cell r="J397">
            <v>2010003996</v>
          </cell>
          <cell r="K397" t="str">
            <v>SOTARBAHAS HUTABALIAN</v>
          </cell>
          <cell r="L397" t="str">
            <v>SBN</v>
          </cell>
          <cell r="M397">
            <v>2008420232</v>
          </cell>
          <cell r="N397" t="str">
            <v>RISKI FERI FRIANDOKO</v>
          </cell>
          <cell r="O397" t="str">
            <v>RFO</v>
          </cell>
          <cell r="P397" t="str">
            <v>idmTGTG@jbr.indomaret.co.id</v>
          </cell>
          <cell r="Q397" t="str">
            <v>KAB. LUMAJANG</v>
          </cell>
          <cell r="R397" t="str">
            <v>SDS</v>
          </cell>
        </row>
        <row r="398">
          <cell r="D398" t="str">
            <v>TKJU</v>
          </cell>
          <cell r="E398" t="str">
            <v/>
          </cell>
          <cell r="F398" t="str">
            <v>TEGALSIWALAN</v>
          </cell>
          <cell r="G398" t="str">
            <v>R</v>
          </cell>
          <cell r="H398">
            <v>43928</v>
          </cell>
          <cell r="I398" t="str">
            <v xml:space="preserve">STANDARD </v>
          </cell>
          <cell r="J398">
            <v>2010003996</v>
          </cell>
          <cell r="K398" t="str">
            <v>SOTARBAHAS HUTABALIAN</v>
          </cell>
          <cell r="L398" t="str">
            <v>SBN</v>
          </cell>
          <cell r="M398">
            <v>2008420232</v>
          </cell>
          <cell r="N398" t="str">
            <v>RISKI FERI FRIANDOKO</v>
          </cell>
          <cell r="O398" t="str">
            <v>RFO</v>
          </cell>
          <cell r="P398" t="str">
            <v>idmTKJU@jbr.indomaret.co.id</v>
          </cell>
          <cell r="Q398" t="str">
            <v>KAB. PROBOLINGGO</v>
          </cell>
          <cell r="R398" t="str">
            <v>SDS</v>
          </cell>
        </row>
        <row r="399">
          <cell r="D399" t="str">
            <v>TNOL</v>
          </cell>
          <cell r="E399" t="str">
            <v/>
          </cell>
          <cell r="F399" t="str">
            <v>HOS COKROAMINOTO</v>
          </cell>
          <cell r="G399" t="str">
            <v>R</v>
          </cell>
          <cell r="H399">
            <v>44053</v>
          </cell>
          <cell r="I399" t="str">
            <v xml:space="preserve">STANDARD </v>
          </cell>
          <cell r="J399">
            <v>2010003996</v>
          </cell>
          <cell r="K399" t="str">
            <v>SOTARBAHAS HUTABALIAN</v>
          </cell>
          <cell r="L399" t="str">
            <v>SBN</v>
          </cell>
          <cell r="M399">
            <v>2008420232</v>
          </cell>
          <cell r="N399" t="str">
            <v>RISKI FERI FRIANDOKO</v>
          </cell>
          <cell r="O399" t="str">
            <v>RFO</v>
          </cell>
          <cell r="P399" t="str">
            <v>idmTNOL@jbr.indomaret.co.id</v>
          </cell>
          <cell r="Q399" t="str">
            <v>KAB. LUMAJANG</v>
          </cell>
          <cell r="R399" t="str">
            <v>SDS</v>
          </cell>
        </row>
        <row r="400">
          <cell r="D400" t="str">
            <v>TR0U</v>
          </cell>
          <cell r="E400"/>
          <cell r="F400" t="str">
            <v>KAPTEN KYAI ILYAS</v>
          </cell>
          <cell r="G400" t="str">
            <v>R</v>
          </cell>
          <cell r="H400">
            <v>46052</v>
          </cell>
          <cell r="I400" t="str">
            <v>STANDARD NEW</v>
          </cell>
          <cell r="J400">
            <v>2010003996</v>
          </cell>
          <cell r="K400" t="str">
            <v>SOTARBAHAS HUTABALIAN</v>
          </cell>
          <cell r="L400" t="str">
            <v>SBN</v>
          </cell>
          <cell r="M400">
            <v>2008420232</v>
          </cell>
          <cell r="N400" t="str">
            <v>RISKI FERI FRIANDOKO</v>
          </cell>
          <cell r="O400" t="str">
            <v>RFO</v>
          </cell>
          <cell r="P400" t="str">
            <v>idmTR0U@jbr.indomaret.co.id</v>
          </cell>
          <cell r="Q400" t="str">
            <v>KAB. LUMAJANG</v>
          </cell>
          <cell r="R400" t="str">
            <v>SDN</v>
          </cell>
        </row>
        <row r="401">
          <cell r="D401" t="str">
            <v>TWYL</v>
          </cell>
          <cell r="E401" t="str">
            <v/>
          </cell>
          <cell r="F401" t="str">
            <v>SUMBERKEDAWUNG LECES</v>
          </cell>
          <cell r="G401" t="str">
            <v>R</v>
          </cell>
          <cell r="H401">
            <v>43438</v>
          </cell>
          <cell r="I401" t="str">
            <v>STANDARD NEW</v>
          </cell>
          <cell r="J401">
            <v>2010003996</v>
          </cell>
          <cell r="K401" t="str">
            <v>SOTARBAHAS HUTABALIAN</v>
          </cell>
          <cell r="L401" t="str">
            <v>SBN</v>
          </cell>
          <cell r="M401">
            <v>2008420232</v>
          </cell>
          <cell r="N401" t="str">
            <v>RISKI FERI FRIANDOKO</v>
          </cell>
          <cell r="O401" t="str">
            <v>RFO</v>
          </cell>
          <cell r="P401" t="str">
            <v>idmTWYL@jbr.indomaret.co.id</v>
          </cell>
          <cell r="Q401" t="str">
            <v>KAB. PROBOLINGGO</v>
          </cell>
          <cell r="R401" t="str">
            <v>SDN</v>
          </cell>
        </row>
        <row r="402">
          <cell r="D402" t="str">
            <v>FAZ3</v>
          </cell>
          <cell r="E402" t="str">
            <v>TA70</v>
          </cell>
          <cell r="F402" t="str">
            <v>TEMPEH - LUMAJANG</v>
          </cell>
          <cell r="G402" t="str">
            <v>F</v>
          </cell>
          <cell r="H402">
            <v>44378</v>
          </cell>
          <cell r="I402" t="str">
            <v xml:space="preserve">STANDARD </v>
          </cell>
          <cell r="J402">
            <v>2010003996</v>
          </cell>
          <cell r="K402" t="str">
            <v>SOTARBAHAS HUTABALIAN</v>
          </cell>
          <cell r="L402" t="str">
            <v>SBN</v>
          </cell>
          <cell r="M402">
            <v>2008420265</v>
          </cell>
          <cell r="N402" t="str">
            <v>RISCA RISTIYANINGSIH</v>
          </cell>
          <cell r="O402" t="str">
            <v>RRH</v>
          </cell>
          <cell r="P402" t="str">
            <v>idFAZ3@jbr.indomaret.co.id</v>
          </cell>
          <cell r="Q402" t="str">
            <v>KAB. LUMAJANG</v>
          </cell>
          <cell r="R402" t="str">
            <v>SDS</v>
          </cell>
        </row>
        <row r="403">
          <cell r="D403" t="str">
            <v>FM8A</v>
          </cell>
          <cell r="E403"/>
          <cell r="F403" t="str">
            <v>JOKARTO</v>
          </cell>
          <cell r="G403" t="str">
            <v>F</v>
          </cell>
          <cell r="H403">
            <v>46116</v>
          </cell>
          <cell r="I403" t="str">
            <v>STANDARD NEW</v>
          </cell>
          <cell r="J403">
            <v>2010003996</v>
          </cell>
          <cell r="K403" t="str">
            <v>SOTARBAHAS HUTABALIAN</v>
          </cell>
          <cell r="L403" t="str">
            <v>SBN</v>
          </cell>
          <cell r="M403">
            <v>2008420265</v>
          </cell>
          <cell r="N403" t="str">
            <v>RISCA RISTIYANINGSIH</v>
          </cell>
          <cell r="O403" t="str">
            <v>RRH</v>
          </cell>
          <cell r="P403" t="str">
            <v>idFM8A@jbr.indomaret.co.id</v>
          </cell>
          <cell r="Q403" t="str">
            <v>KAB. LUMAJANG</v>
          </cell>
          <cell r="R403" t="str">
            <v>SDN</v>
          </cell>
        </row>
        <row r="404">
          <cell r="D404" t="str">
            <v>FQ91</v>
          </cell>
          <cell r="E404" t="str">
            <v>TA68</v>
          </cell>
          <cell r="F404" t="str">
            <v>CANDIPURO</v>
          </cell>
          <cell r="G404" t="str">
            <v>F</v>
          </cell>
          <cell r="H404">
            <v>44256</v>
          </cell>
          <cell r="I404" t="str">
            <v xml:space="preserve">STANDARD </v>
          </cell>
          <cell r="J404">
            <v>2010003996</v>
          </cell>
          <cell r="K404" t="str">
            <v>SOTARBAHAS HUTABALIAN</v>
          </cell>
          <cell r="L404" t="str">
            <v>SBN</v>
          </cell>
          <cell r="M404">
            <v>2008420265</v>
          </cell>
          <cell r="N404" t="str">
            <v>RISCA RISTIYANINGSIH</v>
          </cell>
          <cell r="O404" t="str">
            <v>RRH</v>
          </cell>
          <cell r="P404" t="str">
            <v>idFQ91@jbr.indomaret.co.id</v>
          </cell>
          <cell r="Q404" t="str">
            <v>KAB. LUMAJANG</v>
          </cell>
          <cell r="R404" t="str">
            <v>SDS</v>
          </cell>
        </row>
        <row r="405">
          <cell r="D405" t="str">
            <v>T1WE</v>
          </cell>
          <cell r="E405" t="str">
            <v/>
          </cell>
          <cell r="F405" t="str">
            <v>PENANGGAL</v>
          </cell>
          <cell r="G405" t="str">
            <v>R</v>
          </cell>
          <cell r="H405">
            <v>45929</v>
          </cell>
          <cell r="I405" t="str">
            <v xml:space="preserve">STANDARD </v>
          </cell>
          <cell r="J405">
            <v>2010003996</v>
          </cell>
          <cell r="K405" t="str">
            <v>SOTARBAHAS HUTABALIAN</v>
          </cell>
          <cell r="L405" t="str">
            <v>SBN</v>
          </cell>
          <cell r="M405">
            <v>2008420265</v>
          </cell>
          <cell r="N405" t="str">
            <v>RISCA RISTIYANINGSIH</v>
          </cell>
          <cell r="O405" t="str">
            <v>RRH</v>
          </cell>
          <cell r="P405" t="str">
            <v>idmT1WE@jbr.indomaret.co.id</v>
          </cell>
          <cell r="Q405" t="str">
            <v>KAB. LUMAJANG</v>
          </cell>
          <cell r="R405" t="str">
            <v>SDS</v>
          </cell>
        </row>
        <row r="406">
          <cell r="D406" t="str">
            <v>TAHL</v>
          </cell>
          <cell r="E406" t="str">
            <v/>
          </cell>
          <cell r="F406" t="str">
            <v>PASIRIAN 252</v>
          </cell>
          <cell r="G406" t="str">
            <v>R</v>
          </cell>
          <cell r="H406">
            <v>43241</v>
          </cell>
          <cell r="I406" t="str">
            <v xml:space="preserve">STANDARD </v>
          </cell>
          <cell r="J406">
            <v>2010003996</v>
          </cell>
          <cell r="K406" t="str">
            <v>SOTARBAHAS HUTABALIAN</v>
          </cell>
          <cell r="L406" t="str">
            <v>SBN</v>
          </cell>
          <cell r="M406">
            <v>2008420265</v>
          </cell>
          <cell r="N406" t="str">
            <v>RISCA RISTIYANINGSIH</v>
          </cell>
          <cell r="O406" t="str">
            <v>RRH</v>
          </cell>
          <cell r="P406" t="str">
            <v>idmTAHL@jbr.indomaret.co.id</v>
          </cell>
          <cell r="Q406" t="str">
            <v>KAB. LUMAJANG</v>
          </cell>
          <cell r="R406" t="str">
            <v>SDS</v>
          </cell>
        </row>
        <row r="407">
          <cell r="D407" t="str">
            <v>TBZM</v>
          </cell>
          <cell r="E407" t="str">
            <v/>
          </cell>
          <cell r="F407" t="str">
            <v>PB SUDIRMAN JARIT</v>
          </cell>
          <cell r="G407" t="str">
            <v>R</v>
          </cell>
          <cell r="H407">
            <v>42612</v>
          </cell>
          <cell r="I407" t="str">
            <v xml:space="preserve">STANDARD </v>
          </cell>
          <cell r="J407">
            <v>2010003996</v>
          </cell>
          <cell r="K407" t="str">
            <v>SOTARBAHAS HUTABALIAN</v>
          </cell>
          <cell r="L407" t="str">
            <v>SBN</v>
          </cell>
          <cell r="M407">
            <v>2008420265</v>
          </cell>
          <cell r="N407" t="str">
            <v>RISCA RISTIYANINGSIH</v>
          </cell>
          <cell r="O407" t="str">
            <v>RRH</v>
          </cell>
          <cell r="P407" t="str">
            <v>idmTBZM@jbr.indomaret.co.id</v>
          </cell>
          <cell r="Q407" t="str">
            <v>KAB. LUMAJANG</v>
          </cell>
          <cell r="R407" t="str">
            <v>SDS</v>
          </cell>
        </row>
        <row r="408">
          <cell r="D408" t="str">
            <v>TCAM</v>
          </cell>
          <cell r="E408" t="str">
            <v/>
          </cell>
          <cell r="F408" t="str">
            <v>KEDUNG PAKIS PASIRIAN</v>
          </cell>
          <cell r="G408" t="str">
            <v>R</v>
          </cell>
          <cell r="H408">
            <v>42643</v>
          </cell>
          <cell r="I408" t="str">
            <v xml:space="preserve">STANDARD </v>
          </cell>
          <cell r="J408">
            <v>2010003996</v>
          </cell>
          <cell r="K408" t="str">
            <v>SOTARBAHAS HUTABALIAN</v>
          </cell>
          <cell r="L408" t="str">
            <v>SBN</v>
          </cell>
          <cell r="M408">
            <v>2008420265</v>
          </cell>
          <cell r="N408" t="str">
            <v>RISCA RISTIYANINGSIH</v>
          </cell>
          <cell r="O408" t="str">
            <v>RRH</v>
          </cell>
          <cell r="P408" t="str">
            <v>idmTCAM@jbr.indomaret.co.id</v>
          </cell>
          <cell r="Q408" t="str">
            <v>KAB. LUMAJANG</v>
          </cell>
          <cell r="R408" t="str">
            <v>SDS</v>
          </cell>
        </row>
        <row r="409">
          <cell r="D409" t="str">
            <v>TEAY</v>
          </cell>
          <cell r="E409" t="str">
            <v>FPVI</v>
          </cell>
          <cell r="F409" t="str">
            <v>PULO - LUMAJANG</v>
          </cell>
          <cell r="G409" t="str">
            <v>R</v>
          </cell>
          <cell r="H409">
            <v>44682</v>
          </cell>
          <cell r="I409" t="str">
            <v>STANDARD NEW</v>
          </cell>
          <cell r="J409">
            <v>2010003996</v>
          </cell>
          <cell r="K409" t="str">
            <v>SOTARBAHAS HUTABALIAN</v>
          </cell>
          <cell r="L409" t="str">
            <v>SBN</v>
          </cell>
          <cell r="M409">
            <v>2008420265</v>
          </cell>
          <cell r="N409" t="str">
            <v>RISCA RISTIYANINGSIH</v>
          </cell>
          <cell r="O409" t="str">
            <v>RRH</v>
          </cell>
          <cell r="P409" t="str">
            <v>idmTEAY@jbr.indomaret.co.id</v>
          </cell>
          <cell r="Q409" t="str">
            <v>KAB. LUMAJANG</v>
          </cell>
          <cell r="R409" t="str">
            <v>SDN</v>
          </cell>
        </row>
        <row r="410">
          <cell r="D410" t="str">
            <v>TEPG</v>
          </cell>
          <cell r="E410" t="str">
            <v/>
          </cell>
          <cell r="F410" t="str">
            <v>CONDRO PASIRIAN</v>
          </cell>
          <cell r="G410" t="str">
            <v>R</v>
          </cell>
          <cell r="H410">
            <v>42606</v>
          </cell>
          <cell r="I410" t="str">
            <v xml:space="preserve">STANDARD </v>
          </cell>
          <cell r="J410">
            <v>2010003996</v>
          </cell>
          <cell r="K410" t="str">
            <v>SOTARBAHAS HUTABALIAN</v>
          </cell>
          <cell r="L410" t="str">
            <v>SBN</v>
          </cell>
          <cell r="M410">
            <v>2008420265</v>
          </cell>
          <cell r="N410" t="str">
            <v>RISCA RISTIYANINGSIH</v>
          </cell>
          <cell r="O410" t="str">
            <v>RRH</v>
          </cell>
          <cell r="P410" t="str">
            <v>idmTEPG@jbr.indomaret.co.id</v>
          </cell>
          <cell r="Q410" t="str">
            <v>KAB. LUMAJANG</v>
          </cell>
          <cell r="R410" t="str">
            <v>SDS</v>
          </cell>
        </row>
        <row r="411">
          <cell r="D411" t="str">
            <v>TKOW</v>
          </cell>
          <cell r="E411" t="str">
            <v>FDAC</v>
          </cell>
          <cell r="F411" t="str">
            <v>PASIRIAN</v>
          </cell>
          <cell r="G411" t="str">
            <v>R</v>
          </cell>
          <cell r="H411">
            <v>44501</v>
          </cell>
          <cell r="I411" t="str">
            <v xml:space="preserve">STANDARD </v>
          </cell>
          <cell r="J411">
            <v>2010003996</v>
          </cell>
          <cell r="K411" t="str">
            <v>SOTARBAHAS HUTABALIAN</v>
          </cell>
          <cell r="L411" t="str">
            <v>SBN</v>
          </cell>
          <cell r="M411">
            <v>2008420265</v>
          </cell>
          <cell r="N411" t="str">
            <v>RISCA RISTIYANINGSIH</v>
          </cell>
          <cell r="O411" t="str">
            <v>RRH</v>
          </cell>
          <cell r="P411" t="str">
            <v>idmTKOW@jbr.indomaret.co.id</v>
          </cell>
          <cell r="Q411" t="str">
            <v>KAB. LUMAJANG</v>
          </cell>
          <cell r="R411" t="str">
            <v>SDS</v>
          </cell>
        </row>
        <row r="412">
          <cell r="D412" t="str">
            <v>TLYJ</v>
          </cell>
          <cell r="E412" t="str">
            <v/>
          </cell>
          <cell r="F412" t="str">
            <v>SELOK AWAR - AWAR</v>
          </cell>
          <cell r="G412" t="str">
            <v>R</v>
          </cell>
          <cell r="H412">
            <v>43141</v>
          </cell>
          <cell r="I412" t="str">
            <v xml:space="preserve">STANDARD </v>
          </cell>
          <cell r="J412">
            <v>2010003996</v>
          </cell>
          <cell r="K412" t="str">
            <v>SOTARBAHAS HUTABALIAN</v>
          </cell>
          <cell r="L412" t="str">
            <v>SBN</v>
          </cell>
          <cell r="M412">
            <v>2008420265</v>
          </cell>
          <cell r="N412" t="str">
            <v>RISCA RISTIYANINGSIH</v>
          </cell>
          <cell r="O412" t="str">
            <v>RRH</v>
          </cell>
          <cell r="P412" t="str">
            <v>idmTLYJ@jbr.indomaret.co.id</v>
          </cell>
          <cell r="Q412" t="str">
            <v>KAB. LUMAJANG</v>
          </cell>
          <cell r="R412" t="str">
            <v>SDS</v>
          </cell>
        </row>
        <row r="413">
          <cell r="D413" t="str">
            <v>TPOG</v>
          </cell>
          <cell r="E413" t="str">
            <v/>
          </cell>
          <cell r="F413" t="str">
            <v>TEMPEH KM 7</v>
          </cell>
          <cell r="G413" t="str">
            <v>R</v>
          </cell>
          <cell r="H413">
            <v>42674</v>
          </cell>
          <cell r="I413" t="str">
            <v xml:space="preserve">STANDARD </v>
          </cell>
          <cell r="J413">
            <v>2010003996</v>
          </cell>
          <cell r="K413" t="str">
            <v>SOTARBAHAS HUTABALIAN</v>
          </cell>
          <cell r="L413" t="str">
            <v>SBN</v>
          </cell>
          <cell r="M413">
            <v>2008420265</v>
          </cell>
          <cell r="N413" t="str">
            <v>RISCA RISTIYANINGSIH</v>
          </cell>
          <cell r="O413" t="str">
            <v>RRH</v>
          </cell>
          <cell r="P413" t="str">
            <v>idmTPOG@jbr.indomaret.co.id</v>
          </cell>
          <cell r="Q413" t="str">
            <v>KAB. LUMAJANG</v>
          </cell>
          <cell r="R413" t="str">
            <v>SDS</v>
          </cell>
        </row>
        <row r="414">
          <cell r="D414" t="str">
            <v>TRXA</v>
          </cell>
          <cell r="E414" t="str">
            <v/>
          </cell>
          <cell r="F414" t="str">
            <v>TEMPEH LOR</v>
          </cell>
          <cell r="G414" t="str">
            <v>R</v>
          </cell>
          <cell r="H414">
            <v>42702</v>
          </cell>
          <cell r="I414" t="str">
            <v xml:space="preserve">STANDARD </v>
          </cell>
          <cell r="J414">
            <v>2010003996</v>
          </cell>
          <cell r="K414" t="str">
            <v>SOTARBAHAS HUTABALIAN</v>
          </cell>
          <cell r="L414" t="str">
            <v>SBN</v>
          </cell>
          <cell r="M414">
            <v>2008420265</v>
          </cell>
          <cell r="N414" t="str">
            <v>RISCA RISTIYANINGSIH</v>
          </cell>
          <cell r="O414" t="str">
            <v>RRH</v>
          </cell>
          <cell r="P414" t="str">
            <v>idmTRXA@jbr.indomaret.co.id</v>
          </cell>
          <cell r="Q414" t="str">
            <v>KAB. LUMAJANG</v>
          </cell>
          <cell r="R414" t="str">
            <v>SDS</v>
          </cell>
        </row>
        <row r="415">
          <cell r="D415" t="str">
            <v>TUNT</v>
          </cell>
          <cell r="E415" t="str">
            <v/>
          </cell>
          <cell r="F415" t="str">
            <v>PB SUDIRMAN TEMPEH</v>
          </cell>
          <cell r="G415" t="str">
            <v>R</v>
          </cell>
          <cell r="H415">
            <v>42606</v>
          </cell>
          <cell r="I415" t="str">
            <v xml:space="preserve">STANDARD </v>
          </cell>
          <cell r="J415">
            <v>2010003996</v>
          </cell>
          <cell r="K415" t="str">
            <v>SOTARBAHAS HUTABALIAN</v>
          </cell>
          <cell r="L415" t="str">
            <v>SBN</v>
          </cell>
          <cell r="M415">
            <v>2008420265</v>
          </cell>
          <cell r="N415" t="str">
            <v>RISCA RISTIYANINGSIH</v>
          </cell>
          <cell r="O415" t="str">
            <v>RRH</v>
          </cell>
          <cell r="P415" t="str">
            <v>idmTUNT@jbr.indomaret.co.id</v>
          </cell>
          <cell r="Q415" t="str">
            <v>KAB. LUMAJANG</v>
          </cell>
          <cell r="R415" t="str">
            <v>SDS</v>
          </cell>
        </row>
        <row r="416">
          <cell r="D416" t="str">
            <v>FAIP</v>
          </cell>
          <cell r="E416" t="str">
            <v/>
          </cell>
          <cell r="F416" t="str">
            <v>SOEKARNO HATTA 8B</v>
          </cell>
          <cell r="G416" t="str">
            <v>F</v>
          </cell>
          <cell r="H416">
            <v>45958</v>
          </cell>
          <cell r="I416" t="str">
            <v xml:space="preserve">STANDARD </v>
          </cell>
          <cell r="J416">
            <v>2010003996</v>
          </cell>
          <cell r="K416" t="str">
            <v>SOTARBAHAS HUTABALIAN</v>
          </cell>
          <cell r="L416" t="str">
            <v>SBN</v>
          </cell>
          <cell r="M416">
            <v>2008890327</v>
          </cell>
          <cell r="N416" t="str">
            <v>TOHIR</v>
          </cell>
          <cell r="O416" t="str">
            <v>THR</v>
          </cell>
          <cell r="P416" t="str">
            <v>idFAip@jbr.indomaret.co.id</v>
          </cell>
          <cell r="Q416" t="str">
            <v>KAB. LUMAJANG</v>
          </cell>
          <cell r="R416" t="str">
            <v>SDS</v>
          </cell>
        </row>
        <row r="417">
          <cell r="D417" t="str">
            <v>FOAT</v>
          </cell>
          <cell r="E417" t="str">
            <v/>
          </cell>
          <cell r="F417" t="str">
            <v>SLAMET RIYADI 76</v>
          </cell>
          <cell r="G417" t="str">
            <v>F</v>
          </cell>
          <cell r="H417">
            <v>44559</v>
          </cell>
          <cell r="I417" t="str">
            <v xml:space="preserve">STANDARD </v>
          </cell>
          <cell r="J417">
            <v>2010003996</v>
          </cell>
          <cell r="K417" t="str">
            <v>SOTARBAHAS HUTABALIAN</v>
          </cell>
          <cell r="L417" t="str">
            <v>SBN</v>
          </cell>
          <cell r="M417">
            <v>2008890327</v>
          </cell>
          <cell r="N417" t="str">
            <v>TOHIR</v>
          </cell>
          <cell r="O417" t="str">
            <v>THR</v>
          </cell>
          <cell r="P417" t="str">
            <v>idFOAT@jbr.indomaret.co.id</v>
          </cell>
          <cell r="Q417" t="str">
            <v>KAB. LUMAJANG</v>
          </cell>
          <cell r="R417" t="str">
            <v>SDS</v>
          </cell>
        </row>
        <row r="418">
          <cell r="D418" t="str">
            <v>FOGV</v>
          </cell>
          <cell r="E418" t="str">
            <v/>
          </cell>
          <cell r="F418" t="str">
            <v>SUWANDAK BARAT</v>
          </cell>
          <cell r="G418" t="str">
            <v>F</v>
          </cell>
          <cell r="H418">
            <v>44491</v>
          </cell>
          <cell r="I418" t="str">
            <v xml:space="preserve">STANDARD </v>
          </cell>
          <cell r="J418">
            <v>2010003996</v>
          </cell>
          <cell r="K418" t="str">
            <v>SOTARBAHAS HUTABALIAN</v>
          </cell>
          <cell r="L418" t="str">
            <v>SBN</v>
          </cell>
          <cell r="M418">
            <v>2008890327</v>
          </cell>
          <cell r="N418" t="str">
            <v>TOHIR</v>
          </cell>
          <cell r="O418" t="str">
            <v>THR</v>
          </cell>
          <cell r="P418" t="str">
            <v>idFOGV@jbr.indomaret.co.id</v>
          </cell>
          <cell r="Q418" t="str">
            <v>KAB. LUMAJANG</v>
          </cell>
          <cell r="R418" t="str">
            <v>SDS</v>
          </cell>
        </row>
        <row r="419">
          <cell r="D419" t="str">
            <v>T1M9</v>
          </cell>
          <cell r="E419" t="str">
            <v/>
          </cell>
          <cell r="F419" t="str">
            <v>KALIMAS</v>
          </cell>
          <cell r="G419" t="str">
            <v>R</v>
          </cell>
          <cell r="H419">
            <v>45716</v>
          </cell>
          <cell r="I419" t="str">
            <v xml:space="preserve">STANDARD </v>
          </cell>
          <cell r="J419">
            <v>2010003996</v>
          </cell>
          <cell r="K419" t="str">
            <v>SOTARBAHAS HUTABALIAN</v>
          </cell>
          <cell r="L419" t="str">
            <v>SBN</v>
          </cell>
          <cell r="M419">
            <v>2008890327</v>
          </cell>
          <cell r="N419" t="str">
            <v>TOHIR</v>
          </cell>
          <cell r="O419" t="str">
            <v>THR</v>
          </cell>
          <cell r="P419" t="str">
            <v>idmT1M9@jbr.indomaret.co.id</v>
          </cell>
          <cell r="Q419" t="str">
            <v>KAB. LUMAJANG</v>
          </cell>
          <cell r="R419" t="str">
            <v>SDS</v>
          </cell>
        </row>
        <row r="420">
          <cell r="D420" t="str">
            <v>T56H</v>
          </cell>
          <cell r="E420" t="str">
            <v>F989</v>
          </cell>
          <cell r="F420" t="str">
            <v>KLAKAH LUMAJANG</v>
          </cell>
          <cell r="G420" t="str">
            <v>R</v>
          </cell>
          <cell r="H420">
            <v>41153</v>
          </cell>
          <cell r="I420" t="str">
            <v>STANDARD NEW</v>
          </cell>
          <cell r="J420">
            <v>2010003996</v>
          </cell>
          <cell r="K420" t="str">
            <v>SOTARBAHAS HUTABALIAN</v>
          </cell>
          <cell r="L420" t="str">
            <v>SBN</v>
          </cell>
          <cell r="M420">
            <v>2008890327</v>
          </cell>
          <cell r="N420" t="str">
            <v>TOHIR</v>
          </cell>
          <cell r="O420" t="str">
            <v>THR</v>
          </cell>
          <cell r="P420" t="str">
            <v>idmT56H@jbr.indomaret.co.id</v>
          </cell>
          <cell r="Q420" t="str">
            <v>KAB. LUMAJANG</v>
          </cell>
          <cell r="R420" t="str">
            <v>SDN</v>
          </cell>
        </row>
        <row r="421">
          <cell r="D421" t="str">
            <v>TA07</v>
          </cell>
          <cell r="E421" t="str">
            <v>RFK5</v>
          </cell>
          <cell r="F421" t="str">
            <v>MLAWANG</v>
          </cell>
          <cell r="G421" t="str">
            <v>R</v>
          </cell>
          <cell r="H421">
            <v>43009</v>
          </cell>
          <cell r="I421" t="str">
            <v xml:space="preserve">STANDARD </v>
          </cell>
          <cell r="J421">
            <v>2010003996</v>
          </cell>
          <cell r="K421" t="str">
            <v>SOTARBAHAS HUTABALIAN</v>
          </cell>
          <cell r="L421" t="str">
            <v>SBN</v>
          </cell>
          <cell r="M421">
            <v>2008890327</v>
          </cell>
          <cell r="N421" t="str">
            <v>TOHIR</v>
          </cell>
          <cell r="O421" t="str">
            <v>THR</v>
          </cell>
          <cell r="P421" t="str">
            <v>idmTA07@jbr.indomaret.co.id</v>
          </cell>
          <cell r="Q421" t="str">
            <v>KAB. LUMAJANG</v>
          </cell>
          <cell r="R421" t="str">
            <v>SDS</v>
          </cell>
        </row>
        <row r="422">
          <cell r="D422" t="str">
            <v>TBAT</v>
          </cell>
          <cell r="E422" t="str">
            <v/>
          </cell>
          <cell r="F422" t="str">
            <v>GATOT SUBROTO 179</v>
          </cell>
          <cell r="G422" t="str">
            <v>R</v>
          </cell>
          <cell r="H422">
            <v>42991</v>
          </cell>
          <cell r="I422" t="str">
            <v xml:space="preserve">STANDARD </v>
          </cell>
          <cell r="J422">
            <v>2010003996</v>
          </cell>
          <cell r="K422" t="str">
            <v>SOTARBAHAS HUTABALIAN</v>
          </cell>
          <cell r="L422" t="str">
            <v>SBN</v>
          </cell>
          <cell r="M422">
            <v>2008890327</v>
          </cell>
          <cell r="N422" t="str">
            <v>TOHIR</v>
          </cell>
          <cell r="O422" t="str">
            <v>THR</v>
          </cell>
          <cell r="P422" t="str">
            <v>idmTBAT@jbr.indomaret.co.id</v>
          </cell>
          <cell r="Q422" t="str">
            <v>KAB. LUMAJANG</v>
          </cell>
          <cell r="R422" t="str">
            <v>SDS</v>
          </cell>
        </row>
        <row r="423">
          <cell r="D423" t="str">
            <v>TC6M</v>
          </cell>
          <cell r="E423"/>
          <cell r="F423" t="str">
            <v>BROMO KARANGSARI</v>
          </cell>
          <cell r="G423" t="str">
            <v>R</v>
          </cell>
          <cell r="H423">
            <v>46088</v>
          </cell>
          <cell r="I423" t="str">
            <v>STANDARD NEW</v>
          </cell>
          <cell r="J423">
            <v>2010003996</v>
          </cell>
          <cell r="K423" t="str">
            <v>SOTARBAHAS HUTABALIAN</v>
          </cell>
          <cell r="L423" t="str">
            <v>SBN</v>
          </cell>
          <cell r="M423">
            <v>2008890327</v>
          </cell>
          <cell r="N423" t="str">
            <v>TOHIR</v>
          </cell>
          <cell r="O423" t="str">
            <v>THR</v>
          </cell>
          <cell r="P423" t="str">
            <v>idmTC6M@jbr.indomaret.co.id</v>
          </cell>
          <cell r="Q423" t="str">
            <v>KAB. LUMAJANG</v>
          </cell>
          <cell r="R423" t="str">
            <v>SDN</v>
          </cell>
        </row>
        <row r="424">
          <cell r="D424" t="str">
            <v>TDBF</v>
          </cell>
          <cell r="E424" t="str">
            <v/>
          </cell>
          <cell r="F424" t="str">
            <v>JATIROTO DALAM</v>
          </cell>
          <cell r="G424" t="str">
            <v>R</v>
          </cell>
          <cell r="H424">
            <v>42738</v>
          </cell>
          <cell r="I424" t="str">
            <v xml:space="preserve">STANDARD </v>
          </cell>
          <cell r="J424">
            <v>2010003996</v>
          </cell>
          <cell r="K424" t="str">
            <v>SOTARBAHAS HUTABALIAN</v>
          </cell>
          <cell r="L424" t="str">
            <v>SBN</v>
          </cell>
          <cell r="M424">
            <v>2008890327</v>
          </cell>
          <cell r="N424" t="str">
            <v>TOHIR</v>
          </cell>
          <cell r="O424" t="str">
            <v>THR</v>
          </cell>
          <cell r="P424" t="str">
            <v>idmTDBF@jbr.indomaret.co.id</v>
          </cell>
          <cell r="Q424" t="str">
            <v>KAB. LUMAJANG</v>
          </cell>
          <cell r="R424" t="str">
            <v>SDS</v>
          </cell>
        </row>
        <row r="425">
          <cell r="D425" t="str">
            <v>TEBA</v>
          </cell>
          <cell r="E425" t="str">
            <v/>
          </cell>
          <cell r="F425" t="str">
            <v>RANDUAGUNG 266</v>
          </cell>
          <cell r="G425" t="str">
            <v>R</v>
          </cell>
          <cell r="H425">
            <v>43099</v>
          </cell>
          <cell r="I425" t="str">
            <v xml:space="preserve">STANDARD </v>
          </cell>
          <cell r="J425">
            <v>2010003996</v>
          </cell>
          <cell r="K425" t="str">
            <v>SOTARBAHAS HUTABALIAN</v>
          </cell>
          <cell r="L425" t="str">
            <v>SBN</v>
          </cell>
          <cell r="M425">
            <v>2008890327</v>
          </cell>
          <cell r="N425" t="str">
            <v>TOHIR</v>
          </cell>
          <cell r="O425" t="str">
            <v>THR</v>
          </cell>
          <cell r="P425" t="str">
            <v>idmTEBA@jbr.indomaret.co.id</v>
          </cell>
          <cell r="Q425" t="str">
            <v>KAB. LUMAJANG</v>
          </cell>
          <cell r="R425" t="str">
            <v>SDS</v>
          </cell>
        </row>
        <row r="426">
          <cell r="D426" t="str">
            <v>TF21</v>
          </cell>
          <cell r="E426" t="str">
            <v/>
          </cell>
          <cell r="F426" t="str">
            <v>JATIROTO</v>
          </cell>
          <cell r="G426" t="str">
            <v>R</v>
          </cell>
          <cell r="H426">
            <v>38625</v>
          </cell>
          <cell r="I426" t="str">
            <v xml:space="preserve">STANDARD </v>
          </cell>
          <cell r="J426">
            <v>2010003996</v>
          </cell>
          <cell r="K426" t="str">
            <v>SOTARBAHAS HUTABALIAN</v>
          </cell>
          <cell r="L426" t="str">
            <v>SBN</v>
          </cell>
          <cell r="M426">
            <v>2008890327</v>
          </cell>
          <cell r="N426" t="str">
            <v>TOHIR</v>
          </cell>
          <cell r="O426" t="str">
            <v>THR</v>
          </cell>
          <cell r="P426" t="str">
            <v>idmTF21@jbr.indomaret.co.id</v>
          </cell>
          <cell r="Q426" t="str">
            <v>KAB. LUMAJANG</v>
          </cell>
          <cell r="R426" t="str">
            <v>SDS</v>
          </cell>
        </row>
        <row r="427">
          <cell r="D427" t="str">
            <v>THRY</v>
          </cell>
          <cell r="E427" t="str">
            <v>F06D</v>
          </cell>
          <cell r="F427" t="str">
            <v>RANDUAGUNG</v>
          </cell>
          <cell r="G427" t="str">
            <v>R</v>
          </cell>
          <cell r="H427">
            <v>44197</v>
          </cell>
          <cell r="I427" t="str">
            <v xml:space="preserve">STANDARD </v>
          </cell>
          <cell r="J427">
            <v>2010003996</v>
          </cell>
          <cell r="K427" t="str">
            <v>SOTARBAHAS HUTABALIAN</v>
          </cell>
          <cell r="L427" t="str">
            <v>SBN</v>
          </cell>
          <cell r="M427">
            <v>2008890327</v>
          </cell>
          <cell r="N427" t="str">
            <v>TOHIR</v>
          </cell>
          <cell r="O427" t="str">
            <v>THR</v>
          </cell>
          <cell r="P427" t="str">
            <v>idmTHRY@jbr.indomaret.co.id</v>
          </cell>
          <cell r="Q427" t="str">
            <v>KAB. LUMAJANG</v>
          </cell>
          <cell r="R427" t="str">
            <v>SDS</v>
          </cell>
        </row>
        <row r="428">
          <cell r="D428" t="str">
            <v>TYWG</v>
          </cell>
          <cell r="E428" t="str">
            <v>FCSM</v>
          </cell>
          <cell r="F428" t="str">
            <v>KH.GHOZALI</v>
          </cell>
          <cell r="G428" t="str">
            <v>R</v>
          </cell>
          <cell r="H428">
            <v>43101</v>
          </cell>
          <cell r="I428" t="str">
            <v xml:space="preserve">STANDARD </v>
          </cell>
          <cell r="J428">
            <v>2010003996</v>
          </cell>
          <cell r="K428" t="str">
            <v>SOTARBAHAS HUTABALIAN</v>
          </cell>
          <cell r="L428" t="str">
            <v>SBN</v>
          </cell>
          <cell r="M428">
            <v>2008890327</v>
          </cell>
          <cell r="N428" t="str">
            <v>TOHIR</v>
          </cell>
          <cell r="O428" t="str">
            <v>THR</v>
          </cell>
          <cell r="P428" t="str">
            <v>idmTYWG@jbr.indomaret.co.id</v>
          </cell>
          <cell r="Q428" t="str">
            <v>KAB. LUMAJANG</v>
          </cell>
          <cell r="R428" t="str">
            <v>SDS</v>
          </cell>
        </row>
        <row r="429">
          <cell r="D429" t="str">
            <v>T20A</v>
          </cell>
          <cell r="E429" t="str">
            <v/>
          </cell>
          <cell r="F429" t="str">
            <v>A.YANI- BANYUWANGI</v>
          </cell>
          <cell r="G429" t="str">
            <v>R</v>
          </cell>
          <cell r="H429">
            <v>39864</v>
          </cell>
          <cell r="I429" t="str">
            <v>STANDARD NEW</v>
          </cell>
          <cell r="J429">
            <v>1993000292</v>
          </cell>
          <cell r="K429" t="str">
            <v>SUGENG SANTOSO</v>
          </cell>
          <cell r="L429" t="str">
            <v>SSO</v>
          </cell>
          <cell r="M429">
            <v>2008420112</v>
          </cell>
          <cell r="N429" t="str">
            <v>EKA RATNANING PUTRI</v>
          </cell>
          <cell r="O429" t="str">
            <v>ERI</v>
          </cell>
          <cell r="P429" t="str">
            <v>idmT20A@jbr.indomaret.co.id</v>
          </cell>
          <cell r="Q429" t="str">
            <v>KAB. BANYUWANGI</v>
          </cell>
          <cell r="R429" t="str">
            <v>SDN</v>
          </cell>
        </row>
        <row r="430">
          <cell r="D430" t="str">
            <v>T663</v>
          </cell>
          <cell r="E430" t="str">
            <v/>
          </cell>
          <cell r="F430" t="str">
            <v>BANYUWANGI</v>
          </cell>
          <cell r="G430" t="str">
            <v>R</v>
          </cell>
          <cell r="H430">
            <v>38302</v>
          </cell>
          <cell r="I430" t="str">
            <v>STANDARD NEW</v>
          </cell>
          <cell r="J430">
            <v>1993000292</v>
          </cell>
          <cell r="K430" t="str">
            <v>SUGENG SANTOSO</v>
          </cell>
          <cell r="L430" t="str">
            <v>SSO</v>
          </cell>
          <cell r="M430">
            <v>2008420112</v>
          </cell>
          <cell r="N430" t="str">
            <v>EKA RATNANING PUTRI</v>
          </cell>
          <cell r="O430" t="str">
            <v>ERI</v>
          </cell>
          <cell r="P430" t="str">
            <v>idmT663@jbr.indomaret.co.id</v>
          </cell>
          <cell r="Q430" t="str">
            <v>KAB. BANYUWANGI</v>
          </cell>
          <cell r="R430" t="str">
            <v>SDN</v>
          </cell>
        </row>
        <row r="431">
          <cell r="D431" t="str">
            <v>T680</v>
          </cell>
          <cell r="E431" t="str">
            <v/>
          </cell>
          <cell r="F431" t="str">
            <v>SRONO BANYUWANGI</v>
          </cell>
          <cell r="G431" t="str">
            <v>R</v>
          </cell>
          <cell r="H431">
            <v>38460</v>
          </cell>
          <cell r="I431" t="str">
            <v>STANDARD NEW</v>
          </cell>
          <cell r="J431">
            <v>1993000292</v>
          </cell>
          <cell r="K431" t="str">
            <v>SUGENG SANTOSO</v>
          </cell>
          <cell r="L431" t="str">
            <v>SSO</v>
          </cell>
          <cell r="M431">
            <v>2008420112</v>
          </cell>
          <cell r="N431" t="str">
            <v>EKA RATNANING PUTRI</v>
          </cell>
          <cell r="O431" t="str">
            <v>ERI</v>
          </cell>
          <cell r="P431" t="str">
            <v>idmT680@jbr.indomaret.co.id</v>
          </cell>
          <cell r="Q431" t="str">
            <v>KAB. BANYUWANGI</v>
          </cell>
          <cell r="R431" t="str">
            <v>SDN</v>
          </cell>
        </row>
        <row r="432">
          <cell r="D432" t="str">
            <v>TA17</v>
          </cell>
          <cell r="E432" t="str">
            <v/>
          </cell>
          <cell r="F432" t="str">
            <v>FRESH DIPONEGORO</v>
          </cell>
          <cell r="G432" t="str">
            <v>R</v>
          </cell>
          <cell r="H432">
            <v>39002</v>
          </cell>
          <cell r="I432" t="str">
            <v>MATRIX FRESH</v>
          </cell>
          <cell r="J432">
            <v>1993000292</v>
          </cell>
          <cell r="K432" t="str">
            <v>SUGENG SANTOSO</v>
          </cell>
          <cell r="L432" t="str">
            <v>SSO</v>
          </cell>
          <cell r="M432">
            <v>2008420112</v>
          </cell>
          <cell r="N432" t="str">
            <v>EKA RATNANING PUTRI</v>
          </cell>
          <cell r="O432" t="str">
            <v>ERI</v>
          </cell>
          <cell r="P432" t="str">
            <v>idmTA17@jbr.indomaret.co.id</v>
          </cell>
          <cell r="Q432" t="str">
            <v>KAB. BANYUWANGI</v>
          </cell>
          <cell r="R432" t="str">
            <v>MFF</v>
          </cell>
        </row>
        <row r="433">
          <cell r="D433" t="str">
            <v>TA30</v>
          </cell>
          <cell r="E433" t="str">
            <v/>
          </cell>
          <cell r="F433" t="str">
            <v>COKROAMINOTO-BWI</v>
          </cell>
          <cell r="G433" t="str">
            <v>R</v>
          </cell>
          <cell r="H433">
            <v>39113</v>
          </cell>
          <cell r="I433" t="str">
            <v>STANDARD NEW</v>
          </cell>
          <cell r="J433">
            <v>1993000292</v>
          </cell>
          <cell r="K433" t="str">
            <v>SUGENG SANTOSO</v>
          </cell>
          <cell r="L433" t="str">
            <v>SSO</v>
          </cell>
          <cell r="M433">
            <v>2008420112</v>
          </cell>
          <cell r="N433" t="str">
            <v>EKA RATNANING PUTRI</v>
          </cell>
          <cell r="O433" t="str">
            <v>ERI</v>
          </cell>
          <cell r="P433" t="str">
            <v>idmTA30@jbr.indomaret.co.id</v>
          </cell>
          <cell r="Q433" t="str">
            <v>KAB. BANYUWANGI</v>
          </cell>
          <cell r="R433" t="str">
            <v>SDN</v>
          </cell>
        </row>
        <row r="434">
          <cell r="D434" t="str">
            <v>TA67</v>
          </cell>
          <cell r="E434" t="str">
            <v/>
          </cell>
          <cell r="F434" t="str">
            <v>GLADAG - BANYUWANGI</v>
          </cell>
          <cell r="G434" t="str">
            <v>R</v>
          </cell>
          <cell r="H434">
            <v>39353</v>
          </cell>
          <cell r="I434" t="str">
            <v>STANDARD NEW</v>
          </cell>
          <cell r="J434">
            <v>1993000292</v>
          </cell>
          <cell r="K434" t="str">
            <v>SUGENG SANTOSO</v>
          </cell>
          <cell r="L434" t="str">
            <v>SSO</v>
          </cell>
          <cell r="M434">
            <v>2008420112</v>
          </cell>
          <cell r="N434" t="str">
            <v>EKA RATNANING PUTRI</v>
          </cell>
          <cell r="O434" t="str">
            <v>ERI</v>
          </cell>
          <cell r="P434" t="str">
            <v>idmTA67@jbr.indomaret.co.id</v>
          </cell>
          <cell r="Q434" t="str">
            <v>KAB. BANYUWANGI</v>
          </cell>
          <cell r="R434" t="str">
            <v>SDN</v>
          </cell>
        </row>
        <row r="435">
          <cell r="D435" t="str">
            <v>TQ39</v>
          </cell>
          <cell r="E435" t="str">
            <v/>
          </cell>
          <cell r="F435" t="str">
            <v>FRESH BRAWIJAYA  BANYUWANGI</v>
          </cell>
          <cell r="G435" t="str">
            <v>R</v>
          </cell>
          <cell r="H435">
            <v>40452</v>
          </cell>
          <cell r="I435" t="str">
            <v>MATRIX FRESH</v>
          </cell>
          <cell r="J435">
            <v>1993000292</v>
          </cell>
          <cell r="K435" t="str">
            <v>SUGENG SANTOSO</v>
          </cell>
          <cell r="L435" t="str">
            <v>SSO</v>
          </cell>
          <cell r="M435">
            <v>2008420112</v>
          </cell>
          <cell r="N435" t="str">
            <v>EKA RATNANING PUTRI</v>
          </cell>
          <cell r="O435" t="str">
            <v>ERI</v>
          </cell>
          <cell r="P435" t="str">
            <v>idmTQ39@jbr.indomaret.co.id</v>
          </cell>
          <cell r="Q435" t="str">
            <v>KAB. BANYUWANGI</v>
          </cell>
          <cell r="R435" t="str">
            <v>MFF</v>
          </cell>
        </row>
        <row r="436">
          <cell r="D436" t="str">
            <v>T60T</v>
          </cell>
          <cell r="E436" t="str">
            <v/>
          </cell>
          <cell r="F436" t="str">
            <v>FRESH HAYAM WURUK JEMBER</v>
          </cell>
          <cell r="G436" t="str">
            <v>R</v>
          </cell>
          <cell r="H436">
            <v>40752</v>
          </cell>
          <cell r="I436" t="str">
            <v>MATRIX FRESH</v>
          </cell>
          <cell r="J436">
            <v>1993000292</v>
          </cell>
          <cell r="K436" t="str">
            <v>SUGENG SANTOSO</v>
          </cell>
          <cell r="L436" t="str">
            <v>SSO</v>
          </cell>
          <cell r="M436">
            <v>2013212183</v>
          </cell>
          <cell r="N436" t="str">
            <v>IMAM FATONI</v>
          </cell>
          <cell r="O436" t="str">
            <v>IFO</v>
          </cell>
          <cell r="P436" t="str">
            <v>idmT60T@jbr.indomaret.co.id</v>
          </cell>
          <cell r="Q436" t="str">
            <v>KAB. JEMBER</v>
          </cell>
          <cell r="R436" t="str">
            <v>MFF</v>
          </cell>
        </row>
        <row r="437">
          <cell r="D437" t="str">
            <v>T61Q</v>
          </cell>
          <cell r="E437" t="str">
            <v/>
          </cell>
          <cell r="F437" t="str">
            <v>FRESH PIERRE TENDEAN JBR</v>
          </cell>
          <cell r="G437" t="str">
            <v>R</v>
          </cell>
          <cell r="H437">
            <v>40585</v>
          </cell>
          <cell r="I437" t="str">
            <v>MATRIX FRESH</v>
          </cell>
          <cell r="J437">
            <v>1993000292</v>
          </cell>
          <cell r="K437" t="str">
            <v>SUGENG SANTOSO</v>
          </cell>
          <cell r="L437" t="str">
            <v>SSO</v>
          </cell>
          <cell r="M437">
            <v>2013212183</v>
          </cell>
          <cell r="N437" t="str">
            <v>IMAM FATONI</v>
          </cell>
          <cell r="O437" t="str">
            <v>IFO</v>
          </cell>
          <cell r="P437" t="str">
            <v>idmT61Q@jbr.indomaret.co.id</v>
          </cell>
          <cell r="Q437" t="str">
            <v>KAB. JEMBER</v>
          </cell>
          <cell r="R437" t="str">
            <v>MFF</v>
          </cell>
        </row>
        <row r="438">
          <cell r="D438" t="str">
            <v>TC8L</v>
          </cell>
          <cell r="E438" t="str">
            <v/>
          </cell>
          <cell r="F438" t="str">
            <v>FRESH MASTRIP_ BONDOWOSO</v>
          </cell>
          <cell r="G438" t="str">
            <v>R</v>
          </cell>
          <cell r="H438">
            <v>40190</v>
          </cell>
          <cell r="I438" t="str">
            <v>MATRIX FRESH</v>
          </cell>
          <cell r="J438">
            <v>1993000292</v>
          </cell>
          <cell r="K438" t="str">
            <v>SUGENG SANTOSO</v>
          </cell>
          <cell r="L438" t="str">
            <v>SSO</v>
          </cell>
          <cell r="M438">
            <v>2013212183</v>
          </cell>
          <cell r="N438" t="str">
            <v>IMAM FATONI</v>
          </cell>
          <cell r="O438" t="str">
            <v>IFO</v>
          </cell>
          <cell r="P438" t="str">
            <v>idmTC8L@jbr.indomaret.co.id</v>
          </cell>
          <cell r="Q438" t="str">
            <v>KAB. BONDOWOSO</v>
          </cell>
          <cell r="R438" t="str">
            <v>MFF</v>
          </cell>
        </row>
        <row r="439">
          <cell r="D439" t="str">
            <v>TFUW</v>
          </cell>
          <cell r="E439" t="str">
            <v/>
          </cell>
          <cell r="F439" t="str">
            <v>FRESH PB SUDIRMAN BARU</v>
          </cell>
          <cell r="G439" t="str">
            <v>R</v>
          </cell>
          <cell r="H439">
            <v>42546</v>
          </cell>
          <cell r="I439" t="str">
            <v>MATRIX FRESH</v>
          </cell>
          <cell r="J439">
            <v>1993000292</v>
          </cell>
          <cell r="K439" t="str">
            <v>SUGENG SANTOSO</v>
          </cell>
          <cell r="L439" t="str">
            <v>SSO</v>
          </cell>
          <cell r="M439">
            <v>2013212183</v>
          </cell>
          <cell r="N439" t="str">
            <v>IMAM FATONI</v>
          </cell>
          <cell r="O439" t="str">
            <v>IFO</v>
          </cell>
          <cell r="P439" t="str">
            <v>idmTFUW@jbr.indomaret.co.id</v>
          </cell>
          <cell r="Q439" t="str">
            <v>KAB. JEMBER</v>
          </cell>
          <cell r="R439" t="str">
            <v>MFF</v>
          </cell>
        </row>
        <row r="440">
          <cell r="D440" t="str">
            <v>F0YO</v>
          </cell>
          <cell r="E440" t="str">
            <v/>
          </cell>
          <cell r="F440" t="str">
            <v>RAYA SILIRAGUNG</v>
          </cell>
          <cell r="G440" t="str">
            <v>F</v>
          </cell>
          <cell r="H440">
            <v>45593</v>
          </cell>
          <cell r="I440" t="str">
            <v xml:space="preserve">STANDARD </v>
          </cell>
          <cell r="J440">
            <v>1993000292</v>
          </cell>
          <cell r="K440" t="str">
            <v>SUGENG SANTOSO</v>
          </cell>
          <cell r="L440" t="str">
            <v>SSO</v>
          </cell>
          <cell r="M440">
            <v>2007013998</v>
          </cell>
          <cell r="N440" t="str">
            <v>ICUK SUGIARTO</v>
          </cell>
          <cell r="O440" t="str">
            <v>ISO</v>
          </cell>
          <cell r="P440" t="str">
            <v>idF0YO@jbr.indomaret.co.id</v>
          </cell>
          <cell r="Q440" t="str">
            <v>KAB. BANYUWANGI</v>
          </cell>
          <cell r="R440" t="str">
            <v>SDS</v>
          </cell>
        </row>
        <row r="441">
          <cell r="D441" t="str">
            <v>F36F</v>
          </cell>
          <cell r="E441" t="str">
            <v>T06A</v>
          </cell>
          <cell r="F441" t="str">
            <v>PURWOHARJO 2</v>
          </cell>
          <cell r="G441" t="str">
            <v>F</v>
          </cell>
          <cell r="H441">
            <v>45597</v>
          </cell>
          <cell r="I441" t="str">
            <v xml:space="preserve">STANDARD </v>
          </cell>
          <cell r="J441">
            <v>1993000292</v>
          </cell>
          <cell r="K441" t="str">
            <v>SUGENG SANTOSO</v>
          </cell>
          <cell r="L441" t="str">
            <v>SSO</v>
          </cell>
          <cell r="M441">
            <v>2007013998</v>
          </cell>
          <cell r="N441" t="str">
            <v>ICUK SUGIARTO</v>
          </cell>
          <cell r="O441" t="str">
            <v>ISO</v>
          </cell>
          <cell r="P441" t="str">
            <v>idF36F@jbr.indomaret.co.id</v>
          </cell>
          <cell r="Q441" t="str">
            <v>KAB. BANYUWANGI</v>
          </cell>
          <cell r="R441" t="str">
            <v>SDS</v>
          </cell>
        </row>
        <row r="442">
          <cell r="D442" t="str">
            <v>FDUL</v>
          </cell>
          <cell r="E442" t="str">
            <v>TA48</v>
          </cell>
          <cell r="F442" t="str">
            <v>SAMBIMULYO</v>
          </cell>
          <cell r="G442" t="str">
            <v>F</v>
          </cell>
          <cell r="H442">
            <v>45413</v>
          </cell>
          <cell r="I442" t="str">
            <v xml:space="preserve">STANDARD </v>
          </cell>
          <cell r="J442">
            <v>1993000292</v>
          </cell>
          <cell r="K442" t="str">
            <v>SUGENG SANTOSO</v>
          </cell>
          <cell r="L442" t="str">
            <v>SSO</v>
          </cell>
          <cell r="M442">
            <v>2007013998</v>
          </cell>
          <cell r="N442" t="str">
            <v>ICUK SUGIARTO</v>
          </cell>
          <cell r="O442" t="str">
            <v>ISO</v>
          </cell>
          <cell r="P442" t="str">
            <v>idFDUL@jbr.indomaret.co.id</v>
          </cell>
          <cell r="Q442" t="str">
            <v>KAB. BANYUWANGI</v>
          </cell>
          <cell r="R442" t="str">
            <v>SDS</v>
          </cell>
        </row>
        <row r="443">
          <cell r="D443" t="str">
            <v>FECI</v>
          </cell>
          <cell r="E443" t="str">
            <v>TAL4</v>
          </cell>
          <cell r="F443" t="str">
            <v>CLURING</v>
          </cell>
          <cell r="G443" t="str">
            <v>F</v>
          </cell>
          <cell r="H443">
            <v>45444</v>
          </cell>
          <cell r="I443" t="str">
            <v xml:space="preserve">STANDARD </v>
          </cell>
          <cell r="J443">
            <v>1993000292</v>
          </cell>
          <cell r="K443" t="str">
            <v>SUGENG SANTOSO</v>
          </cell>
          <cell r="L443" t="str">
            <v>SSO</v>
          </cell>
          <cell r="M443">
            <v>2007013998</v>
          </cell>
          <cell r="N443" t="str">
            <v>ICUK SUGIARTO</v>
          </cell>
          <cell r="O443" t="str">
            <v>ISO</v>
          </cell>
          <cell r="P443" t="str">
            <v>idFECI@jbr.indomaret.co.id</v>
          </cell>
          <cell r="Q443" t="str">
            <v>KAB. BANYUWANGI</v>
          </cell>
          <cell r="R443" t="str">
            <v>SDS</v>
          </cell>
        </row>
        <row r="444">
          <cell r="D444" t="str">
            <v>FF37</v>
          </cell>
          <cell r="E444" t="str">
            <v>TF22</v>
          </cell>
          <cell r="F444" t="str">
            <v>PESANGGARAN</v>
          </cell>
          <cell r="G444" t="str">
            <v>F</v>
          </cell>
          <cell r="H444">
            <v>45536</v>
          </cell>
          <cell r="I444" t="str">
            <v xml:space="preserve">STANDARD </v>
          </cell>
          <cell r="J444">
            <v>1993000292</v>
          </cell>
          <cell r="K444" t="str">
            <v>SUGENG SANTOSO</v>
          </cell>
          <cell r="L444" t="str">
            <v>SSO</v>
          </cell>
          <cell r="M444">
            <v>2007013998</v>
          </cell>
          <cell r="N444" t="str">
            <v>ICUK SUGIARTO</v>
          </cell>
          <cell r="O444" t="str">
            <v>ISO</v>
          </cell>
          <cell r="P444" t="str">
            <v>idFF37@jbr.indomaret.co.id</v>
          </cell>
          <cell r="Q444" t="str">
            <v>KAB. BANYUWANGI</v>
          </cell>
          <cell r="R444" t="str">
            <v>SDS</v>
          </cell>
        </row>
        <row r="445">
          <cell r="D445" t="str">
            <v>FKHN</v>
          </cell>
          <cell r="E445" t="str">
            <v/>
          </cell>
          <cell r="F445" t="str">
            <v>JUANDA JAJAG</v>
          </cell>
          <cell r="G445" t="str">
            <v>F</v>
          </cell>
          <cell r="H445">
            <v>45253</v>
          </cell>
          <cell r="I445" t="str">
            <v xml:space="preserve">STANDARD </v>
          </cell>
          <cell r="J445">
            <v>1993000292</v>
          </cell>
          <cell r="K445" t="str">
            <v>SUGENG SANTOSO</v>
          </cell>
          <cell r="L445" t="str">
            <v>SSO</v>
          </cell>
          <cell r="M445">
            <v>2007013998</v>
          </cell>
          <cell r="N445" t="str">
            <v>ICUK SUGIARTO</v>
          </cell>
          <cell r="O445" t="str">
            <v>ISO</v>
          </cell>
          <cell r="P445" t="str">
            <v>idFKHN@jbr.indomaret.co.id</v>
          </cell>
          <cell r="Q445" t="str">
            <v>KAB. BANYUWANGI</v>
          </cell>
          <cell r="R445" t="str">
            <v>SDS</v>
          </cell>
        </row>
        <row r="446">
          <cell r="D446" t="str">
            <v>FSJG</v>
          </cell>
          <cell r="E446" t="str">
            <v/>
          </cell>
          <cell r="F446" t="str">
            <v>SUPROBO</v>
          </cell>
          <cell r="G446" t="str">
            <v>F</v>
          </cell>
          <cell r="H446">
            <v>45653</v>
          </cell>
          <cell r="I446" t="str">
            <v xml:space="preserve">STANDARD </v>
          </cell>
          <cell r="J446">
            <v>1993000292</v>
          </cell>
          <cell r="K446" t="str">
            <v>SUGENG SANTOSO</v>
          </cell>
          <cell r="L446" t="str">
            <v>SSO</v>
          </cell>
          <cell r="M446">
            <v>2007013998</v>
          </cell>
          <cell r="N446" t="str">
            <v>ICUK SUGIARTO</v>
          </cell>
          <cell r="O446" t="str">
            <v>ISO</v>
          </cell>
          <cell r="P446" t="str">
            <v>idFSJG@jbr.indomaret.co.id</v>
          </cell>
          <cell r="Q446" t="str">
            <v>KAB. BANYUWANGI</v>
          </cell>
          <cell r="R446" t="str">
            <v>SDS</v>
          </cell>
        </row>
        <row r="447">
          <cell r="D447" t="str">
            <v>FUHR</v>
          </cell>
          <cell r="E447" t="str">
            <v/>
          </cell>
          <cell r="F447" t="str">
            <v>SOEKARNO HATTA BANGOREJO-BWI</v>
          </cell>
          <cell r="G447" t="str">
            <v>F</v>
          </cell>
          <cell r="H447">
            <v>45501</v>
          </cell>
          <cell r="I447" t="str">
            <v xml:space="preserve">STANDARD </v>
          </cell>
          <cell r="J447">
            <v>1993000292</v>
          </cell>
          <cell r="K447" t="str">
            <v>SUGENG SANTOSO</v>
          </cell>
          <cell r="L447" t="str">
            <v>SSO</v>
          </cell>
          <cell r="M447">
            <v>2007013998</v>
          </cell>
          <cell r="N447" t="str">
            <v>ICUK SUGIARTO</v>
          </cell>
          <cell r="O447" t="str">
            <v>ISO</v>
          </cell>
          <cell r="P447" t="str">
            <v>idFUHR@jbr.indomaret.co.id</v>
          </cell>
          <cell r="Q447" t="str">
            <v>KAB. BANYUWANGI</v>
          </cell>
          <cell r="R447" t="str">
            <v>SDS</v>
          </cell>
        </row>
        <row r="448">
          <cell r="D448" t="str">
            <v>FUZU</v>
          </cell>
          <cell r="E448"/>
          <cell r="F448" t="str">
            <v>RAYA PESANGGARAN</v>
          </cell>
          <cell r="G448" t="str">
            <v>F</v>
          </cell>
          <cell r="H448">
            <v>45986</v>
          </cell>
          <cell r="I448" t="str">
            <v xml:space="preserve">STANDARD </v>
          </cell>
          <cell r="J448">
            <v>1993000292</v>
          </cell>
          <cell r="K448" t="str">
            <v>SUGENG SANTOSO</v>
          </cell>
          <cell r="L448" t="str">
            <v>SSO</v>
          </cell>
          <cell r="M448">
            <v>2007013998</v>
          </cell>
          <cell r="N448" t="str">
            <v>ICUK SUGIARTO</v>
          </cell>
          <cell r="O448" t="str">
            <v>ISO</v>
          </cell>
          <cell r="P448" t="str">
            <v>idFUZU@jbr.indomaret.co.id</v>
          </cell>
          <cell r="Q448" t="str">
            <v>KAB. BANYUWANGI</v>
          </cell>
          <cell r="R448" t="str">
            <v>SDS</v>
          </cell>
        </row>
        <row r="449">
          <cell r="D449" t="str">
            <v>FXE0</v>
          </cell>
          <cell r="E449" t="str">
            <v/>
          </cell>
          <cell r="F449" t="str">
            <v>SUKOMADE SUMBERAGUNG</v>
          </cell>
          <cell r="G449" t="str">
            <v>F</v>
          </cell>
          <cell r="H449">
            <v>45895</v>
          </cell>
          <cell r="I449" t="str">
            <v xml:space="preserve">STANDARD </v>
          </cell>
          <cell r="J449">
            <v>1993000292</v>
          </cell>
          <cell r="K449" t="str">
            <v>SUGENG SANTOSO</v>
          </cell>
          <cell r="L449" t="str">
            <v>SSO</v>
          </cell>
          <cell r="M449">
            <v>2007013998</v>
          </cell>
          <cell r="N449" t="str">
            <v>ICUK SUGIARTO</v>
          </cell>
          <cell r="O449" t="str">
            <v>ISO</v>
          </cell>
          <cell r="P449" t="str">
            <v>idFXE0@jbr.indomaret.co.id</v>
          </cell>
          <cell r="Q449" t="str">
            <v>KAB. BANYUWANGI</v>
          </cell>
          <cell r="R449" t="str">
            <v>SDS</v>
          </cell>
        </row>
        <row r="450">
          <cell r="D450" t="str">
            <v>FYSU</v>
          </cell>
          <cell r="E450" t="str">
            <v/>
          </cell>
          <cell r="F450" t="str">
            <v>RAYA KESILIR</v>
          </cell>
          <cell r="G450" t="str">
            <v>F</v>
          </cell>
          <cell r="H450">
            <v>45895</v>
          </cell>
          <cell r="I450" t="str">
            <v xml:space="preserve">STANDARD </v>
          </cell>
          <cell r="J450">
            <v>1993000292</v>
          </cell>
          <cell r="K450" t="str">
            <v>SUGENG SANTOSO</v>
          </cell>
          <cell r="L450" t="str">
            <v>SSO</v>
          </cell>
          <cell r="M450">
            <v>2007013998</v>
          </cell>
          <cell r="N450" t="str">
            <v>ICUK SUGIARTO</v>
          </cell>
          <cell r="O450" t="str">
            <v>ISO</v>
          </cell>
          <cell r="P450" t="str">
            <v>idFYSU@jbr.indomaret.co.id</v>
          </cell>
          <cell r="Q450" t="str">
            <v>KAB. BANYUWANGI</v>
          </cell>
          <cell r="R450" t="str">
            <v>SDS</v>
          </cell>
        </row>
        <row r="451">
          <cell r="D451" t="str">
            <v>TA89</v>
          </cell>
          <cell r="E451" t="str">
            <v/>
          </cell>
          <cell r="F451" t="str">
            <v>BANGOREJO</v>
          </cell>
          <cell r="G451" t="str">
            <v>R</v>
          </cell>
          <cell r="H451">
            <v>39538</v>
          </cell>
          <cell r="I451" t="str">
            <v>STANDARD NEW</v>
          </cell>
          <cell r="J451">
            <v>1993000292</v>
          </cell>
          <cell r="K451" t="str">
            <v>SUGENG SANTOSO</v>
          </cell>
          <cell r="L451" t="str">
            <v>SSO</v>
          </cell>
          <cell r="M451">
            <v>2007013998</v>
          </cell>
          <cell r="N451" t="str">
            <v>ICUK SUGIARTO</v>
          </cell>
          <cell r="O451" t="str">
            <v>ISO</v>
          </cell>
          <cell r="P451" t="str">
            <v>idmTA89@jbr.indomaret.co.id</v>
          </cell>
          <cell r="Q451" t="str">
            <v>KAB. BANYUWANGI</v>
          </cell>
          <cell r="R451" t="str">
            <v>SDN</v>
          </cell>
        </row>
        <row r="452">
          <cell r="D452" t="str">
            <v>TF04</v>
          </cell>
          <cell r="E452" t="str">
            <v/>
          </cell>
          <cell r="F452" t="str">
            <v>PURWOHARJO</v>
          </cell>
          <cell r="G452" t="str">
            <v>R</v>
          </cell>
          <cell r="H452">
            <v>38533</v>
          </cell>
          <cell r="I452" t="str">
            <v>STANDARD NEW</v>
          </cell>
          <cell r="J452">
            <v>1993000292</v>
          </cell>
          <cell r="K452" t="str">
            <v>SUGENG SANTOSO</v>
          </cell>
          <cell r="L452" t="str">
            <v>SSO</v>
          </cell>
          <cell r="M452">
            <v>2007013998</v>
          </cell>
          <cell r="N452" t="str">
            <v>ICUK SUGIARTO</v>
          </cell>
          <cell r="O452" t="str">
            <v>ISO</v>
          </cell>
          <cell r="P452" t="str">
            <v>idmTF04@jbr.indomaret.co.id</v>
          </cell>
          <cell r="Q452" t="str">
            <v>KAB. BANYUWANGI</v>
          </cell>
          <cell r="R452" t="str">
            <v>SDN</v>
          </cell>
        </row>
        <row r="453">
          <cell r="D453" t="str">
            <v>F52F</v>
          </cell>
          <cell r="E453" t="str">
            <v>TA59</v>
          </cell>
          <cell r="F453" t="str">
            <v>SUMBERREJO - BANYUWANGI</v>
          </cell>
          <cell r="G453" t="str">
            <v>F</v>
          </cell>
          <cell r="H453">
            <v>45627</v>
          </cell>
          <cell r="I453" t="str">
            <v xml:space="preserve">STANDARD </v>
          </cell>
          <cell r="J453">
            <v>1993000292</v>
          </cell>
          <cell r="K453" t="str">
            <v>SUGENG SANTOSO</v>
          </cell>
          <cell r="L453" t="str">
            <v>SSO</v>
          </cell>
          <cell r="M453">
            <v>2011012567</v>
          </cell>
          <cell r="N453" t="str">
            <v>MAURIDE EGO PUTRA</v>
          </cell>
          <cell r="O453" t="str">
            <v>MEP</v>
          </cell>
          <cell r="P453" t="str">
            <v>idF52F@jbr.indomaret.co.id</v>
          </cell>
          <cell r="Q453" t="str">
            <v>KAB. BANYUWANGI</v>
          </cell>
          <cell r="R453" t="str">
            <v>SDS</v>
          </cell>
        </row>
        <row r="454">
          <cell r="D454" t="str">
            <v>F58Q</v>
          </cell>
          <cell r="E454" t="str">
            <v>TAL9</v>
          </cell>
          <cell r="F454" t="str">
            <v>AGUS SALIM - BANYUWANGI</v>
          </cell>
          <cell r="G454" t="str">
            <v>F</v>
          </cell>
          <cell r="H454">
            <v>44348</v>
          </cell>
          <cell r="I454" t="str">
            <v xml:space="preserve">STANDARD </v>
          </cell>
          <cell r="J454">
            <v>1993000292</v>
          </cell>
          <cell r="K454" t="str">
            <v>SUGENG SANTOSO</v>
          </cell>
          <cell r="L454" t="str">
            <v>SSO</v>
          </cell>
          <cell r="M454">
            <v>2011012567</v>
          </cell>
          <cell r="N454" t="str">
            <v>MAURIDE EGO PUTRA</v>
          </cell>
          <cell r="O454" t="str">
            <v>MEP</v>
          </cell>
          <cell r="P454" t="str">
            <v>idF58Q@jbr.indomaret.co.id</v>
          </cell>
          <cell r="Q454" t="str">
            <v>KAB. BANYUWANGI</v>
          </cell>
          <cell r="R454" t="str">
            <v>SDS</v>
          </cell>
        </row>
        <row r="455">
          <cell r="D455" t="str">
            <v>FFCH</v>
          </cell>
          <cell r="E455" t="str">
            <v>TF26</v>
          </cell>
          <cell r="F455" t="str">
            <v>PIERRE TENDEAN</v>
          </cell>
          <cell r="G455" t="str">
            <v>F</v>
          </cell>
          <cell r="H455">
            <v>44378</v>
          </cell>
          <cell r="I455" t="str">
            <v xml:space="preserve">STANDARD </v>
          </cell>
          <cell r="J455">
            <v>1993000292</v>
          </cell>
          <cell r="K455" t="str">
            <v>SUGENG SANTOSO</v>
          </cell>
          <cell r="L455" t="str">
            <v>SSO</v>
          </cell>
          <cell r="M455">
            <v>2011012567</v>
          </cell>
          <cell r="N455" t="str">
            <v>MAURIDE EGO PUTRA</v>
          </cell>
          <cell r="O455" t="str">
            <v>MEP</v>
          </cell>
          <cell r="P455" t="str">
            <v>idFFCH@jbr.indomaret.co.id</v>
          </cell>
          <cell r="Q455" t="str">
            <v>KAB. BANYUWANGI</v>
          </cell>
          <cell r="R455" t="str">
            <v>SDS</v>
          </cell>
        </row>
        <row r="456">
          <cell r="D456" t="str">
            <v>FNBU</v>
          </cell>
          <cell r="E456" t="str">
            <v/>
          </cell>
          <cell r="F456" t="str">
            <v>BLIMBINGSARI</v>
          </cell>
          <cell r="G456" t="str">
            <v>F</v>
          </cell>
          <cell r="H456">
            <v>44923</v>
          </cell>
          <cell r="I456" t="str">
            <v xml:space="preserve">STANDARD </v>
          </cell>
          <cell r="J456">
            <v>1993000292</v>
          </cell>
          <cell r="K456" t="str">
            <v>SUGENG SANTOSO</v>
          </cell>
          <cell r="L456" t="str">
            <v>SSO</v>
          </cell>
          <cell r="M456">
            <v>2011012567</v>
          </cell>
          <cell r="N456" t="str">
            <v>MAURIDE EGO PUTRA</v>
          </cell>
          <cell r="O456" t="str">
            <v>MEP</v>
          </cell>
          <cell r="P456" t="str">
            <v>idFNBU@jbr.indomaret.co.id</v>
          </cell>
          <cell r="Q456" t="str">
            <v>KAB. BANYUWANGI</v>
          </cell>
          <cell r="R456" t="str">
            <v>SDS</v>
          </cell>
        </row>
        <row r="457">
          <cell r="D457" t="str">
            <v>FNKN</v>
          </cell>
          <cell r="E457" t="str">
            <v>T98A</v>
          </cell>
          <cell r="F457" t="str">
            <v>SRONO 2 - BANYUWANGI</v>
          </cell>
          <cell r="G457" t="str">
            <v>F</v>
          </cell>
          <cell r="H457">
            <v>45078</v>
          </cell>
          <cell r="I457" t="str">
            <v xml:space="preserve">STANDARD </v>
          </cell>
          <cell r="J457">
            <v>1993000292</v>
          </cell>
          <cell r="K457" t="str">
            <v>SUGENG SANTOSO</v>
          </cell>
          <cell r="L457" t="str">
            <v>SSO</v>
          </cell>
          <cell r="M457">
            <v>2011012567</v>
          </cell>
          <cell r="N457" t="str">
            <v>MAURIDE EGO PUTRA</v>
          </cell>
          <cell r="O457" t="str">
            <v>MEP</v>
          </cell>
          <cell r="P457" t="str">
            <v>idFNKN@jbr.indomaret.co.id</v>
          </cell>
          <cell r="Q457" t="str">
            <v>KAB. BANYUWANGI</v>
          </cell>
          <cell r="R457" t="str">
            <v>SDS</v>
          </cell>
        </row>
        <row r="458">
          <cell r="D458" t="str">
            <v>FTMV</v>
          </cell>
          <cell r="E458" t="str">
            <v>T13A</v>
          </cell>
          <cell r="F458" t="str">
            <v>BANTERANG</v>
          </cell>
          <cell r="G458" t="str">
            <v>F</v>
          </cell>
          <cell r="H458">
            <v>45078</v>
          </cell>
          <cell r="I458" t="str">
            <v>STANDARD NEW</v>
          </cell>
          <cell r="J458">
            <v>1993000292</v>
          </cell>
          <cell r="K458" t="str">
            <v>SUGENG SANTOSO</v>
          </cell>
          <cell r="L458" t="str">
            <v>SSO</v>
          </cell>
          <cell r="M458">
            <v>2011012567</v>
          </cell>
          <cell r="N458" t="str">
            <v>MAURIDE EGO PUTRA</v>
          </cell>
          <cell r="O458" t="str">
            <v>MEP</v>
          </cell>
          <cell r="P458" t="str">
            <v>idFTMV@jbr.indomaret.co.id</v>
          </cell>
          <cell r="Q458" t="str">
            <v>KAB. BANYUWANGI</v>
          </cell>
          <cell r="R458" t="str">
            <v>SDN</v>
          </cell>
        </row>
        <row r="459">
          <cell r="D459" t="str">
            <v>FUGR</v>
          </cell>
          <cell r="E459" t="str">
            <v/>
          </cell>
          <cell r="F459" t="str">
            <v>PRAMBANAN</v>
          </cell>
          <cell r="G459" t="str">
            <v>F</v>
          </cell>
          <cell r="H459">
            <v>44944</v>
          </cell>
          <cell r="I459" t="str">
            <v xml:space="preserve">STANDARD </v>
          </cell>
          <cell r="J459">
            <v>1993000292</v>
          </cell>
          <cell r="K459" t="str">
            <v>SUGENG SANTOSO</v>
          </cell>
          <cell r="L459" t="str">
            <v>SSO</v>
          </cell>
          <cell r="M459">
            <v>2011012567</v>
          </cell>
          <cell r="N459" t="str">
            <v>MAURIDE EGO PUTRA</v>
          </cell>
          <cell r="O459" t="str">
            <v>MEP</v>
          </cell>
          <cell r="P459" t="str">
            <v>idFUGR@jbr.indomaret.co.id</v>
          </cell>
          <cell r="Q459" t="str">
            <v>KAB. BANYUWANGI</v>
          </cell>
          <cell r="R459" t="str">
            <v>SDS</v>
          </cell>
        </row>
        <row r="460">
          <cell r="D460" t="str">
            <v>FVDU</v>
          </cell>
          <cell r="E460" t="str">
            <v/>
          </cell>
          <cell r="F460" t="str">
            <v>KEBAMAN</v>
          </cell>
          <cell r="G460" t="str">
            <v>F</v>
          </cell>
          <cell r="H460">
            <v>45217</v>
          </cell>
          <cell r="I460" t="str">
            <v xml:space="preserve">STANDARD </v>
          </cell>
          <cell r="J460">
            <v>1993000292</v>
          </cell>
          <cell r="K460" t="str">
            <v>SUGENG SANTOSO</v>
          </cell>
          <cell r="L460" t="str">
            <v>SSO</v>
          </cell>
          <cell r="M460">
            <v>2011012567</v>
          </cell>
          <cell r="N460" t="str">
            <v>MAURIDE EGO PUTRA</v>
          </cell>
          <cell r="O460" t="str">
            <v>MEP</v>
          </cell>
          <cell r="P460" t="str">
            <v>idFVDU@jbr.indomaret.co.id</v>
          </cell>
          <cell r="Q460" t="str">
            <v>KAB. BANYUWANGI</v>
          </cell>
          <cell r="R460" t="str">
            <v>SDS</v>
          </cell>
        </row>
        <row r="461">
          <cell r="D461" t="str">
            <v>FWOL</v>
          </cell>
          <cell r="E461" t="str">
            <v/>
          </cell>
          <cell r="F461" t="str">
            <v>IKAN PAUS</v>
          </cell>
          <cell r="G461" t="str">
            <v>F</v>
          </cell>
          <cell r="H461">
            <v>45590</v>
          </cell>
          <cell r="I461" t="str">
            <v xml:space="preserve">STANDARD </v>
          </cell>
          <cell r="J461">
            <v>1993000292</v>
          </cell>
          <cell r="K461" t="str">
            <v>SUGENG SANTOSO</v>
          </cell>
          <cell r="L461" t="str">
            <v>SSO</v>
          </cell>
          <cell r="M461">
            <v>2011012567</v>
          </cell>
          <cell r="N461" t="str">
            <v>MAURIDE EGO PUTRA</v>
          </cell>
          <cell r="O461" t="str">
            <v>MEP</v>
          </cell>
          <cell r="P461" t="str">
            <v>idFWOL@jbr.indomaret.co.id</v>
          </cell>
          <cell r="Q461" t="str">
            <v>KAB. BANYUWANGI</v>
          </cell>
          <cell r="R461" t="str">
            <v>SDS</v>
          </cell>
        </row>
        <row r="462">
          <cell r="D462" t="str">
            <v>FYUU</v>
          </cell>
          <cell r="E462" t="str">
            <v>TA60</v>
          </cell>
          <cell r="F462" t="str">
            <v>SONGGON - BANYUWANGI</v>
          </cell>
          <cell r="G462" t="str">
            <v>F</v>
          </cell>
          <cell r="H462">
            <v>45627</v>
          </cell>
          <cell r="I462" t="str">
            <v xml:space="preserve">STANDARD </v>
          </cell>
          <cell r="J462">
            <v>1993000292</v>
          </cell>
          <cell r="K462" t="str">
            <v>SUGENG SANTOSO</v>
          </cell>
          <cell r="L462" t="str">
            <v>SSO</v>
          </cell>
          <cell r="M462">
            <v>2011012567</v>
          </cell>
          <cell r="N462" t="str">
            <v>MAURIDE EGO PUTRA</v>
          </cell>
          <cell r="O462" t="str">
            <v>MEP</v>
          </cell>
          <cell r="P462" t="str">
            <v>idFYUU@jbr.indomaret.co.id</v>
          </cell>
          <cell r="Q462" t="str">
            <v>KAB. BANYUWANGI</v>
          </cell>
          <cell r="R462" t="str">
            <v>SDS</v>
          </cell>
        </row>
        <row r="463">
          <cell r="D463" t="str">
            <v>T654</v>
          </cell>
          <cell r="E463" t="str">
            <v/>
          </cell>
          <cell r="F463" t="str">
            <v>ROGOJAMPI</v>
          </cell>
          <cell r="G463" t="str">
            <v>R</v>
          </cell>
          <cell r="H463">
            <v>38254</v>
          </cell>
          <cell r="I463" t="str">
            <v>STANDARD NEW</v>
          </cell>
          <cell r="J463">
            <v>1993000292</v>
          </cell>
          <cell r="K463" t="str">
            <v>SUGENG SANTOSO</v>
          </cell>
          <cell r="L463" t="str">
            <v>SSO</v>
          </cell>
          <cell r="M463">
            <v>2011012567</v>
          </cell>
          <cell r="N463" t="str">
            <v>MAURIDE EGO PUTRA</v>
          </cell>
          <cell r="O463" t="str">
            <v>MEP</v>
          </cell>
          <cell r="P463" t="str">
            <v>idmT654@jbr.indomaret.co.id</v>
          </cell>
          <cell r="Q463" t="str">
            <v>KAB. BANYUWANGI</v>
          </cell>
          <cell r="R463" t="str">
            <v>SDN</v>
          </cell>
        </row>
        <row r="464">
          <cell r="D464" t="str">
            <v>TAL3</v>
          </cell>
          <cell r="E464" t="str">
            <v/>
          </cell>
          <cell r="F464" t="str">
            <v>ROGOJAMPI 2</v>
          </cell>
          <cell r="G464" t="str">
            <v>R</v>
          </cell>
          <cell r="H464">
            <v>40021</v>
          </cell>
          <cell r="I464" t="str">
            <v>STANDARD NEW</v>
          </cell>
          <cell r="J464">
            <v>1993000292</v>
          </cell>
          <cell r="K464" t="str">
            <v>SUGENG SANTOSO</v>
          </cell>
          <cell r="L464" t="str">
            <v>SSO</v>
          </cell>
          <cell r="M464">
            <v>2011012567</v>
          </cell>
          <cell r="N464" t="str">
            <v>MAURIDE EGO PUTRA</v>
          </cell>
          <cell r="O464" t="str">
            <v>MEP</v>
          </cell>
          <cell r="P464" t="str">
            <v>idmTAL3@jbr.indomaret.co.id</v>
          </cell>
          <cell r="Q464" t="str">
            <v>KAB. BANYUWANGI</v>
          </cell>
          <cell r="R464" t="str">
            <v>SDN</v>
          </cell>
        </row>
        <row r="465">
          <cell r="D465" t="str">
            <v>F3W8</v>
          </cell>
          <cell r="E465" t="str">
            <v/>
          </cell>
          <cell r="F465" t="str">
            <v>BRAWIJAYA 9B</v>
          </cell>
          <cell r="G465" t="str">
            <v>F</v>
          </cell>
          <cell r="H465">
            <v>45199</v>
          </cell>
          <cell r="I465" t="str">
            <v xml:space="preserve">STANDARD </v>
          </cell>
          <cell r="J465">
            <v>1993000292</v>
          </cell>
          <cell r="K465" t="str">
            <v>SUGENG SANTOSO</v>
          </cell>
          <cell r="L465" t="str">
            <v>SSO</v>
          </cell>
          <cell r="M465">
            <v>2007414250</v>
          </cell>
          <cell r="N465" t="str">
            <v>OKY ARSI SYAEBANI</v>
          </cell>
          <cell r="O465" t="str">
            <v>OSI</v>
          </cell>
          <cell r="P465" t="str">
            <v>idF3W8@jbr.indomaret.co.id</v>
          </cell>
          <cell r="Q465" t="str">
            <v>KAB. BANYUWANGI</v>
          </cell>
          <cell r="R465" t="str">
            <v>SDS</v>
          </cell>
        </row>
        <row r="466">
          <cell r="D466" t="str">
            <v>F3XB</v>
          </cell>
          <cell r="E466"/>
          <cell r="F466" t="str">
            <v>GRIYA PESONA WONGSOREJO</v>
          </cell>
          <cell r="G466" t="str">
            <v>F</v>
          </cell>
          <cell r="H466">
            <v>46010</v>
          </cell>
          <cell r="I466" t="str">
            <v xml:space="preserve">STANDARD </v>
          </cell>
          <cell r="J466">
            <v>1993000292</v>
          </cell>
          <cell r="K466" t="str">
            <v>SUGENG SANTOSO</v>
          </cell>
          <cell r="L466" t="str">
            <v>SSO</v>
          </cell>
          <cell r="M466">
            <v>2007414250</v>
          </cell>
          <cell r="N466" t="str">
            <v>OKY ARSI SYAEBANI</v>
          </cell>
          <cell r="O466" t="str">
            <v>OSI</v>
          </cell>
          <cell r="P466" t="str">
            <v>idF3XB@jbr.indomaret.co.id</v>
          </cell>
          <cell r="Q466" t="str">
            <v>KAB. BANYUWANGI</v>
          </cell>
          <cell r="R466" t="str">
            <v>SDS</v>
          </cell>
        </row>
        <row r="467">
          <cell r="D467" t="str">
            <v>F6EV</v>
          </cell>
          <cell r="E467"/>
          <cell r="F467" t="str">
            <v>RAYA LICIN</v>
          </cell>
          <cell r="G467" t="str">
            <v>F</v>
          </cell>
          <cell r="H467">
            <v>46010</v>
          </cell>
          <cell r="I467" t="str">
            <v xml:space="preserve">STANDARD </v>
          </cell>
          <cell r="J467">
            <v>1993000292</v>
          </cell>
          <cell r="K467" t="str">
            <v>SUGENG SANTOSO</v>
          </cell>
          <cell r="L467" t="str">
            <v>SSO</v>
          </cell>
          <cell r="M467">
            <v>2007414250</v>
          </cell>
          <cell r="N467" t="str">
            <v>OKY ARSI SYAEBANI</v>
          </cell>
          <cell r="O467" t="str">
            <v>OSI</v>
          </cell>
          <cell r="P467" t="str">
            <v>idF6EV@jbr.indomaret.co.id</v>
          </cell>
          <cell r="Q467" t="str">
            <v>KAB. BANYUWANGI</v>
          </cell>
          <cell r="R467" t="str">
            <v>SDS</v>
          </cell>
        </row>
        <row r="468">
          <cell r="D468" t="str">
            <v>F97F</v>
          </cell>
          <cell r="E468" t="str">
            <v>TA33</v>
          </cell>
          <cell r="F468" t="str">
            <v>ISTIQLAH-BANYUWANGI</v>
          </cell>
          <cell r="G468" t="str">
            <v>F</v>
          </cell>
          <cell r="H468">
            <v>45658</v>
          </cell>
          <cell r="I468" t="str">
            <v xml:space="preserve">STANDARD </v>
          </cell>
          <cell r="J468">
            <v>1993000292</v>
          </cell>
          <cell r="K468" t="str">
            <v>SUGENG SANTOSO</v>
          </cell>
          <cell r="L468" t="str">
            <v>SSO</v>
          </cell>
          <cell r="M468">
            <v>2007414250</v>
          </cell>
          <cell r="N468" t="str">
            <v>OKY ARSI SYAEBANI</v>
          </cell>
          <cell r="O468" t="str">
            <v>OSI</v>
          </cell>
          <cell r="P468" t="str">
            <v>idF97F@jbr.indomaret.co.id</v>
          </cell>
          <cell r="Q468" t="str">
            <v>KAB. BANYUWANGI</v>
          </cell>
          <cell r="R468" t="str">
            <v>SDS</v>
          </cell>
        </row>
        <row r="469">
          <cell r="D469" t="str">
            <v>FAEE</v>
          </cell>
          <cell r="E469" t="str">
            <v/>
          </cell>
          <cell r="F469" t="str">
            <v>WONOREJO BALURAN</v>
          </cell>
          <cell r="G469" t="str">
            <v>F</v>
          </cell>
          <cell r="H469">
            <v>45440</v>
          </cell>
          <cell r="I469" t="str">
            <v xml:space="preserve">STANDARD </v>
          </cell>
          <cell r="J469">
            <v>1993000292</v>
          </cell>
          <cell r="K469" t="str">
            <v>SUGENG SANTOSO</v>
          </cell>
          <cell r="L469" t="str">
            <v>SSO</v>
          </cell>
          <cell r="M469">
            <v>2007414250</v>
          </cell>
          <cell r="N469" t="str">
            <v>OKY ARSI SYAEBANI</v>
          </cell>
          <cell r="O469" t="str">
            <v>OSI</v>
          </cell>
          <cell r="P469" t="str">
            <v>idFAEE@jbr.indomaret.co.id</v>
          </cell>
          <cell r="Q469" t="str">
            <v>KAB. SITUBONDO</v>
          </cell>
          <cell r="R469" t="str">
            <v>SDS</v>
          </cell>
        </row>
        <row r="470">
          <cell r="D470" t="str">
            <v>FGIR</v>
          </cell>
          <cell r="E470" t="str">
            <v/>
          </cell>
          <cell r="F470" t="str">
            <v>TOKO JAYA BERSAMA</v>
          </cell>
          <cell r="G470" t="str">
            <v>F</v>
          </cell>
          <cell r="H470">
            <v>44705</v>
          </cell>
          <cell r="I470" t="str">
            <v xml:space="preserve">STANDARD </v>
          </cell>
          <cell r="J470">
            <v>1993000292</v>
          </cell>
          <cell r="K470" t="str">
            <v>SUGENG SANTOSO</v>
          </cell>
          <cell r="L470" t="str">
            <v>SSO</v>
          </cell>
          <cell r="M470">
            <v>2007414250</v>
          </cell>
          <cell r="N470" t="str">
            <v>OKY ARSI SYAEBANI</v>
          </cell>
          <cell r="O470" t="str">
            <v>OSI</v>
          </cell>
          <cell r="P470" t="str">
            <v>idFGIR@jbr.indomaret.co.id</v>
          </cell>
          <cell r="Q470" t="str">
            <v>KAB. BANYUWANGI</v>
          </cell>
          <cell r="R470" t="str">
            <v>SDS</v>
          </cell>
        </row>
        <row r="471">
          <cell r="D471" t="str">
            <v>FIVI</v>
          </cell>
          <cell r="E471" t="str">
            <v/>
          </cell>
          <cell r="F471" t="str">
            <v>GATSU KETAPANG - BWI</v>
          </cell>
          <cell r="G471" t="str">
            <v>F</v>
          </cell>
          <cell r="H471">
            <v>45868</v>
          </cell>
          <cell r="I471" t="str">
            <v xml:space="preserve">STANDARD </v>
          </cell>
          <cell r="J471">
            <v>1993000292</v>
          </cell>
          <cell r="K471" t="str">
            <v>SUGENG SANTOSO</v>
          </cell>
          <cell r="L471" t="str">
            <v>SSO</v>
          </cell>
          <cell r="M471">
            <v>2007414250</v>
          </cell>
          <cell r="N471" t="str">
            <v>OKY ARSI SYAEBANI</v>
          </cell>
          <cell r="O471" t="str">
            <v>OSI</v>
          </cell>
          <cell r="P471" t="str">
            <v>idFIVI@jbr.indomaret.co.id</v>
          </cell>
          <cell r="Q471" t="str">
            <v>KAB. BANYUWANGI</v>
          </cell>
          <cell r="R471" t="str">
            <v>SDS</v>
          </cell>
        </row>
        <row r="472">
          <cell r="D472" t="str">
            <v>T691</v>
          </cell>
          <cell r="E472" t="str">
            <v/>
          </cell>
          <cell r="F472" t="str">
            <v>KETAPANG BANYUWANGI</v>
          </cell>
          <cell r="G472" t="str">
            <v>R</v>
          </cell>
          <cell r="H472">
            <v>38486</v>
          </cell>
          <cell r="I472" t="str">
            <v>STANDARD NEW</v>
          </cell>
          <cell r="J472">
            <v>1993000292</v>
          </cell>
          <cell r="K472" t="str">
            <v>SUGENG SANTOSO</v>
          </cell>
          <cell r="L472" t="str">
            <v>SSO</v>
          </cell>
          <cell r="M472">
            <v>2007414250</v>
          </cell>
          <cell r="N472" t="str">
            <v>OKY ARSI SYAEBANI</v>
          </cell>
          <cell r="O472" t="str">
            <v>OSI</v>
          </cell>
          <cell r="P472" t="str">
            <v>idmT691@jbr.indomaret.co.id</v>
          </cell>
          <cell r="Q472" t="str">
            <v>KAB. BANYUWANGI</v>
          </cell>
          <cell r="R472" t="str">
            <v>SDN</v>
          </cell>
        </row>
        <row r="473">
          <cell r="D473" t="str">
            <v>TA34</v>
          </cell>
          <cell r="E473" t="str">
            <v/>
          </cell>
          <cell r="F473" t="str">
            <v>SUKOWIDI</v>
          </cell>
          <cell r="G473" t="str">
            <v>R</v>
          </cell>
          <cell r="H473">
            <v>39135</v>
          </cell>
          <cell r="I473" t="str">
            <v>STANDARD NEW</v>
          </cell>
          <cell r="J473">
            <v>1993000292</v>
          </cell>
          <cell r="K473" t="str">
            <v>SUGENG SANTOSO</v>
          </cell>
          <cell r="L473" t="str">
            <v>SSO</v>
          </cell>
          <cell r="M473">
            <v>2007414250</v>
          </cell>
          <cell r="N473" t="str">
            <v>OKY ARSI SYAEBANI</v>
          </cell>
          <cell r="O473" t="str">
            <v>OSI</v>
          </cell>
          <cell r="P473" t="str">
            <v>idmTA34@jbr.indomaret.co.id</v>
          </cell>
          <cell r="Q473" t="str">
            <v>KAB. BANYUWANGI</v>
          </cell>
          <cell r="R473" t="str">
            <v>SDN</v>
          </cell>
        </row>
        <row r="474">
          <cell r="D474" t="str">
            <v>TCK0</v>
          </cell>
          <cell r="E474" t="str">
            <v/>
          </cell>
          <cell r="F474" t="str">
            <v>GATOT SUBROTO KETAPANG</v>
          </cell>
          <cell r="G474" t="str">
            <v>R</v>
          </cell>
          <cell r="H474">
            <v>40268</v>
          </cell>
          <cell r="I474" t="str">
            <v>STANDARD NEW</v>
          </cell>
          <cell r="J474">
            <v>1993000292</v>
          </cell>
          <cell r="K474" t="str">
            <v>SUGENG SANTOSO</v>
          </cell>
          <cell r="L474" t="str">
            <v>SSO</v>
          </cell>
          <cell r="M474">
            <v>2007414250</v>
          </cell>
          <cell r="N474" t="str">
            <v>OKY ARSI SYAEBANI</v>
          </cell>
          <cell r="O474" t="str">
            <v>OSI</v>
          </cell>
          <cell r="P474" t="str">
            <v>idmTCK0@jbr.indomaret.co.id</v>
          </cell>
          <cell r="Q474" t="str">
            <v>KAB. BANYUWANGI</v>
          </cell>
          <cell r="R474" t="str">
            <v>SDN</v>
          </cell>
        </row>
        <row r="475">
          <cell r="D475" t="str">
            <v>TENY</v>
          </cell>
          <cell r="E475" t="str">
            <v>F51F</v>
          </cell>
          <cell r="F475" t="str">
            <v>WONGSOREJO - BANYUWANGI</v>
          </cell>
          <cell r="G475" t="str">
            <v>R</v>
          </cell>
          <cell r="H475">
            <v>41974</v>
          </cell>
          <cell r="I475" t="str">
            <v>STANDARD NEW</v>
          </cell>
          <cell r="J475">
            <v>1993000292</v>
          </cell>
          <cell r="K475" t="str">
            <v>SUGENG SANTOSO</v>
          </cell>
          <cell r="L475" t="str">
            <v>SSO</v>
          </cell>
          <cell r="M475">
            <v>2007414250</v>
          </cell>
          <cell r="N475" t="str">
            <v>OKY ARSI SYAEBANI</v>
          </cell>
          <cell r="O475" t="str">
            <v>OSI</v>
          </cell>
          <cell r="P475" t="str">
            <v>idmTENY@jbr.indomaret.co.id</v>
          </cell>
          <cell r="Q475" t="str">
            <v>KAB. BANYUWANGI</v>
          </cell>
          <cell r="R475" t="str">
            <v>SDN</v>
          </cell>
        </row>
        <row r="476">
          <cell r="D476" t="str">
            <v>TUPR</v>
          </cell>
          <cell r="E476" t="str">
            <v>FR61</v>
          </cell>
          <cell r="F476" t="str">
            <v>SIDODADI - BANYUWANGI</v>
          </cell>
          <cell r="G476" t="str">
            <v>R</v>
          </cell>
          <cell r="H476">
            <v>42125</v>
          </cell>
          <cell r="I476" t="str">
            <v>STANDARD NEW</v>
          </cell>
          <cell r="J476">
            <v>1993000292</v>
          </cell>
          <cell r="K476" t="str">
            <v>SUGENG SANTOSO</v>
          </cell>
          <cell r="L476" t="str">
            <v>SSO</v>
          </cell>
          <cell r="M476">
            <v>2007414250</v>
          </cell>
          <cell r="N476" t="str">
            <v>OKY ARSI SYAEBANI</v>
          </cell>
          <cell r="O476" t="str">
            <v>OSI</v>
          </cell>
          <cell r="P476" t="str">
            <v>idmTUPR@jbr.indomaret.co.id</v>
          </cell>
          <cell r="Q476" t="str">
            <v>KAB. BANYUWANGI</v>
          </cell>
          <cell r="R476" t="str">
            <v>SDN</v>
          </cell>
        </row>
        <row r="477">
          <cell r="D477" t="str">
            <v>F25C</v>
          </cell>
          <cell r="E477" t="str">
            <v>TA36</v>
          </cell>
          <cell r="F477" t="str">
            <v>KEDUNGREJO</v>
          </cell>
          <cell r="G477" t="str">
            <v>F</v>
          </cell>
          <cell r="H477">
            <v>45261</v>
          </cell>
          <cell r="I477" t="str">
            <v xml:space="preserve">STANDARD </v>
          </cell>
          <cell r="J477">
            <v>1993000292</v>
          </cell>
          <cell r="K477" t="str">
            <v>SUGENG SANTOSO</v>
          </cell>
          <cell r="L477" t="str">
            <v>SSO</v>
          </cell>
          <cell r="M477">
            <v>2012102602</v>
          </cell>
          <cell r="N477" t="str">
            <v>WENDRI RAYA SUPRIYADI</v>
          </cell>
          <cell r="O477" t="str">
            <v>WRI</v>
          </cell>
          <cell r="P477" t="str">
            <v>idF25C@jbr.indomaret.co.id</v>
          </cell>
          <cell r="Q477" t="str">
            <v>KAB. BANYUWANGI</v>
          </cell>
          <cell r="R477" t="str">
            <v>SDS</v>
          </cell>
        </row>
        <row r="478">
          <cell r="D478" t="str">
            <v>F94C</v>
          </cell>
          <cell r="E478" t="str">
            <v>TA46</v>
          </cell>
          <cell r="F478" t="str">
            <v>GENDOH _ BANYUWANGI</v>
          </cell>
          <cell r="G478" t="str">
            <v>F</v>
          </cell>
          <cell r="H478">
            <v>45352</v>
          </cell>
          <cell r="I478" t="str">
            <v xml:space="preserve">STANDARD </v>
          </cell>
          <cell r="J478">
            <v>1993000292</v>
          </cell>
          <cell r="K478" t="str">
            <v>SUGENG SANTOSO</v>
          </cell>
          <cell r="L478" t="str">
            <v>SSO</v>
          </cell>
          <cell r="M478">
            <v>2012102602</v>
          </cell>
          <cell r="N478" t="str">
            <v>WENDRI RAYA SUPRIYADI</v>
          </cell>
          <cell r="O478" t="str">
            <v>WRI</v>
          </cell>
          <cell r="P478" t="str">
            <v>idF94C@jbr.indomaret.co.id</v>
          </cell>
          <cell r="Q478" t="str">
            <v>KAB. BANYUWANGI</v>
          </cell>
          <cell r="R478" t="str">
            <v>SDS</v>
          </cell>
        </row>
        <row r="479">
          <cell r="D479" t="str">
            <v>FJJI</v>
          </cell>
          <cell r="E479" t="str">
            <v/>
          </cell>
          <cell r="F479" t="str">
            <v>HASANUDDIN KM 5</v>
          </cell>
          <cell r="G479" t="str">
            <v>F</v>
          </cell>
          <cell r="H479">
            <v>45409</v>
          </cell>
          <cell r="I479" t="str">
            <v xml:space="preserve">STANDARD </v>
          </cell>
          <cell r="J479">
            <v>1993000292</v>
          </cell>
          <cell r="K479" t="str">
            <v>SUGENG SANTOSO</v>
          </cell>
          <cell r="L479" t="str">
            <v>SSO</v>
          </cell>
          <cell r="M479">
            <v>2012102602</v>
          </cell>
          <cell r="N479" t="str">
            <v>WENDRI RAYA SUPRIYADI</v>
          </cell>
          <cell r="O479" t="str">
            <v>WRI</v>
          </cell>
          <cell r="P479" t="str">
            <v>idFJJI@jbr.indomaret.co.id</v>
          </cell>
          <cell r="Q479" t="str">
            <v>KAB. BANYUWANGI</v>
          </cell>
          <cell r="R479" t="str">
            <v>SDS</v>
          </cell>
        </row>
        <row r="480">
          <cell r="D480" t="str">
            <v>FN1D</v>
          </cell>
          <cell r="E480" t="str">
            <v/>
          </cell>
          <cell r="F480" t="str">
            <v>ARUJI KARTAWINATA 80</v>
          </cell>
          <cell r="G480" t="str">
            <v>F</v>
          </cell>
          <cell r="H480">
            <v>45199</v>
          </cell>
          <cell r="I480" t="str">
            <v xml:space="preserve">STANDARD </v>
          </cell>
          <cell r="J480">
            <v>1993000292</v>
          </cell>
          <cell r="K480" t="str">
            <v>SUGENG SANTOSO</v>
          </cell>
          <cell r="L480" t="str">
            <v>SSO</v>
          </cell>
          <cell r="M480">
            <v>2012102602</v>
          </cell>
          <cell r="N480" t="str">
            <v>WENDRI RAYA SUPRIYADI</v>
          </cell>
          <cell r="O480" t="str">
            <v>WRI</v>
          </cell>
          <cell r="P480" t="str">
            <v>idFN1D@jbr.indomaret.co.id</v>
          </cell>
          <cell r="Q480" t="str">
            <v>KAB. BANYUWANGI</v>
          </cell>
          <cell r="R480" t="str">
            <v>SDS</v>
          </cell>
        </row>
        <row r="481">
          <cell r="D481" t="str">
            <v>FP02</v>
          </cell>
          <cell r="E481" t="str">
            <v>T696</v>
          </cell>
          <cell r="F481" t="str">
            <v>SUMBER AYU</v>
          </cell>
          <cell r="G481" t="str">
            <v>F</v>
          </cell>
          <cell r="H481">
            <v>45566</v>
          </cell>
          <cell r="I481" t="str">
            <v xml:space="preserve">STANDARD </v>
          </cell>
          <cell r="J481">
            <v>1993000292</v>
          </cell>
          <cell r="K481" t="str">
            <v>SUGENG SANTOSO</v>
          </cell>
          <cell r="L481" t="str">
            <v>SSO</v>
          </cell>
          <cell r="M481">
            <v>2012102602</v>
          </cell>
          <cell r="N481" t="str">
            <v>WENDRI RAYA SUPRIYADI</v>
          </cell>
          <cell r="O481" t="str">
            <v>WRI</v>
          </cell>
          <cell r="P481" t="str">
            <v>idFP02@jbr.indomaret.co.id</v>
          </cell>
          <cell r="Q481" t="str">
            <v>KAB. BANYUWANGI</v>
          </cell>
          <cell r="R481" t="str">
            <v>SDS</v>
          </cell>
        </row>
        <row r="482">
          <cell r="D482" t="str">
            <v>FPFB</v>
          </cell>
          <cell r="E482" t="str">
            <v/>
          </cell>
          <cell r="F482" t="str">
            <v>SUMBER BERAS</v>
          </cell>
          <cell r="G482" t="str">
            <v>F</v>
          </cell>
          <cell r="H482">
            <v>45533</v>
          </cell>
          <cell r="I482" t="str">
            <v xml:space="preserve">STANDARD </v>
          </cell>
          <cell r="J482">
            <v>1993000292</v>
          </cell>
          <cell r="K482" t="str">
            <v>SUGENG SANTOSO</v>
          </cell>
          <cell r="L482" t="str">
            <v>SSO</v>
          </cell>
          <cell r="M482">
            <v>2012102602</v>
          </cell>
          <cell r="N482" t="str">
            <v>WENDRI RAYA SUPRIYADI</v>
          </cell>
          <cell r="O482" t="str">
            <v>WRI</v>
          </cell>
          <cell r="P482" t="str">
            <v>idFPFB@jbr.indomaret.co.id</v>
          </cell>
          <cell r="Q482" t="str">
            <v>KAB. BANYUWANGI</v>
          </cell>
          <cell r="R482" t="str">
            <v>SDS</v>
          </cell>
        </row>
        <row r="483">
          <cell r="D483" t="str">
            <v>FPI5</v>
          </cell>
          <cell r="E483" t="str">
            <v>T669</v>
          </cell>
          <cell r="F483" t="str">
            <v>MUNCAR BANYUWANGI</v>
          </cell>
          <cell r="G483" t="str">
            <v>F</v>
          </cell>
          <cell r="H483">
            <v>44501</v>
          </cell>
          <cell r="I483" t="str">
            <v xml:space="preserve">STANDARD </v>
          </cell>
          <cell r="J483">
            <v>1993000292</v>
          </cell>
          <cell r="K483" t="str">
            <v>SUGENG SANTOSO</v>
          </cell>
          <cell r="L483" t="str">
            <v>SSO</v>
          </cell>
          <cell r="M483">
            <v>2012102602</v>
          </cell>
          <cell r="N483" t="str">
            <v>WENDRI RAYA SUPRIYADI</v>
          </cell>
          <cell r="O483" t="str">
            <v>WRI</v>
          </cell>
          <cell r="P483" t="str">
            <v>idFPI5@jbr.indomaret.co.id</v>
          </cell>
          <cell r="Q483" t="str">
            <v>KAB. BANYUWANGI</v>
          </cell>
          <cell r="R483" t="str">
            <v>SDS</v>
          </cell>
        </row>
        <row r="484">
          <cell r="D484" t="str">
            <v>FPNK</v>
          </cell>
          <cell r="E484" t="str">
            <v/>
          </cell>
          <cell r="F484" t="str">
            <v>RAYA TEMBOKREJO</v>
          </cell>
          <cell r="G484" t="str">
            <v>F</v>
          </cell>
          <cell r="H484">
            <v>45582</v>
          </cell>
          <cell r="I484" t="str">
            <v xml:space="preserve">STANDARD </v>
          </cell>
          <cell r="J484">
            <v>1993000292</v>
          </cell>
          <cell r="K484" t="str">
            <v>SUGENG SANTOSO</v>
          </cell>
          <cell r="L484" t="str">
            <v>SSO</v>
          </cell>
          <cell r="M484">
            <v>2012102602</v>
          </cell>
          <cell r="N484" t="str">
            <v>WENDRI RAYA SUPRIYADI</v>
          </cell>
          <cell r="O484" t="str">
            <v>WRI</v>
          </cell>
          <cell r="P484" t="str">
            <v>idFPNK@jbr.indomaret.co.id</v>
          </cell>
          <cell r="Q484" t="str">
            <v>KAB. BANYUWANGI</v>
          </cell>
          <cell r="R484" t="str">
            <v>SDS</v>
          </cell>
        </row>
        <row r="485">
          <cell r="D485" t="str">
            <v>FTGA</v>
          </cell>
          <cell r="E485" t="str">
            <v>T2AL</v>
          </cell>
          <cell r="F485" t="str">
            <v>JAJAG BANYUWANGI</v>
          </cell>
          <cell r="G485" t="str">
            <v>F</v>
          </cell>
          <cell r="H485">
            <v>45809</v>
          </cell>
          <cell r="I485" t="str">
            <v xml:space="preserve">STANDARD </v>
          </cell>
          <cell r="J485">
            <v>1993000292</v>
          </cell>
          <cell r="K485" t="str">
            <v>SUGENG SANTOSO</v>
          </cell>
          <cell r="L485" t="str">
            <v>SSO</v>
          </cell>
          <cell r="M485">
            <v>2012102602</v>
          </cell>
          <cell r="N485" t="str">
            <v>WENDRI RAYA SUPRIYADI</v>
          </cell>
          <cell r="O485" t="str">
            <v>WRI</v>
          </cell>
          <cell r="P485" t="str">
            <v>idFTGA@jbr.indomaret.co.id</v>
          </cell>
          <cell r="Q485" t="str">
            <v>KAB. BANYUWANGI</v>
          </cell>
          <cell r="R485" t="str">
            <v>SDS</v>
          </cell>
        </row>
        <row r="486">
          <cell r="D486" t="str">
            <v>FVLC</v>
          </cell>
          <cell r="E486"/>
          <cell r="F486" t="str">
            <v>RAYA SUMBERBERAS</v>
          </cell>
          <cell r="G486" t="str">
            <v>F</v>
          </cell>
          <cell r="H486">
            <v>45987</v>
          </cell>
          <cell r="I486" t="str">
            <v xml:space="preserve">STANDARD </v>
          </cell>
          <cell r="J486">
            <v>1993000292</v>
          </cell>
          <cell r="K486" t="str">
            <v>SUGENG SANTOSO</v>
          </cell>
          <cell r="L486" t="str">
            <v>SSO</v>
          </cell>
          <cell r="M486">
            <v>2012102602</v>
          </cell>
          <cell r="N486" t="str">
            <v>WENDRI RAYA SUPRIYADI</v>
          </cell>
          <cell r="O486" t="str">
            <v>WRI</v>
          </cell>
          <cell r="P486" t="str">
            <v>idFVLC@jbr.indomaret.co.id</v>
          </cell>
          <cell r="Q486" t="str">
            <v>KAB. BANYUWANGI</v>
          </cell>
          <cell r="R486" t="str">
            <v>SDS</v>
          </cell>
        </row>
        <row r="487">
          <cell r="D487" t="str">
            <v>T08A</v>
          </cell>
          <cell r="E487" t="str">
            <v/>
          </cell>
          <cell r="F487" t="str">
            <v>MUNCAR 2</v>
          </cell>
          <cell r="G487" t="str">
            <v>R</v>
          </cell>
          <cell r="H487">
            <v>39701</v>
          </cell>
          <cell r="I487" t="str">
            <v xml:space="preserve">STANDARD </v>
          </cell>
          <cell r="J487">
            <v>1993000292</v>
          </cell>
          <cell r="K487" t="str">
            <v>SUGENG SANTOSO</v>
          </cell>
          <cell r="L487" t="str">
            <v>SSO</v>
          </cell>
          <cell r="M487">
            <v>2012102602</v>
          </cell>
          <cell r="N487" t="str">
            <v>WENDRI RAYA SUPRIYADI</v>
          </cell>
          <cell r="O487" t="str">
            <v>WRI</v>
          </cell>
          <cell r="P487" t="str">
            <v>idmT08A@jbr.indomaret.co.id</v>
          </cell>
          <cell r="Q487" t="str">
            <v>KAB. BANYUWANGI</v>
          </cell>
          <cell r="R487" t="str">
            <v>SDS</v>
          </cell>
        </row>
        <row r="488">
          <cell r="D488" t="str">
            <v>TA09</v>
          </cell>
          <cell r="E488" t="str">
            <v/>
          </cell>
          <cell r="F488" t="str">
            <v>YOS SUDARSO</v>
          </cell>
          <cell r="G488" t="str">
            <v>R</v>
          </cell>
          <cell r="H488">
            <v>38960</v>
          </cell>
          <cell r="I488" t="str">
            <v xml:space="preserve">STANDARD </v>
          </cell>
          <cell r="J488">
            <v>1993000292</v>
          </cell>
          <cell r="K488" t="str">
            <v>SUGENG SANTOSO</v>
          </cell>
          <cell r="L488" t="str">
            <v>SSO</v>
          </cell>
          <cell r="M488">
            <v>2012102602</v>
          </cell>
          <cell r="N488" t="str">
            <v>WENDRI RAYA SUPRIYADI</v>
          </cell>
          <cell r="O488" t="str">
            <v>WRI</v>
          </cell>
          <cell r="P488" t="str">
            <v>idmTA09@jbr.indomaret.co.id</v>
          </cell>
          <cell r="Q488" t="str">
            <v>KAB. BANYUWANGI</v>
          </cell>
          <cell r="R488" t="str">
            <v>SDS</v>
          </cell>
        </row>
        <row r="489">
          <cell r="D489" t="str">
            <v>TA11</v>
          </cell>
          <cell r="E489" t="str">
            <v/>
          </cell>
          <cell r="F489" t="str">
            <v>BENCULUK - BANYUWANGI</v>
          </cell>
          <cell r="G489" t="str">
            <v>R</v>
          </cell>
          <cell r="H489">
            <v>38982</v>
          </cell>
          <cell r="I489" t="str">
            <v xml:space="preserve">STANDARD </v>
          </cell>
          <cell r="J489">
            <v>1993000292</v>
          </cell>
          <cell r="K489" t="str">
            <v>SUGENG SANTOSO</v>
          </cell>
          <cell r="L489" t="str">
            <v>SSO</v>
          </cell>
          <cell r="M489">
            <v>2012102602</v>
          </cell>
          <cell r="N489" t="str">
            <v>WENDRI RAYA SUPRIYADI</v>
          </cell>
          <cell r="O489" t="str">
            <v>WRI</v>
          </cell>
          <cell r="P489" t="str">
            <v>idmTA11@jbr.indomaret.co.id</v>
          </cell>
          <cell r="Q489" t="str">
            <v>KAB. BANYUWANGI</v>
          </cell>
          <cell r="R489" t="str">
            <v>SDS</v>
          </cell>
        </row>
        <row r="490">
          <cell r="D490" t="str">
            <v>F97A</v>
          </cell>
          <cell r="E490" t="str">
            <v/>
          </cell>
          <cell r="F490" t="str">
            <v>BALUNG 2</v>
          </cell>
          <cell r="G490" t="str">
            <v>F</v>
          </cell>
          <cell r="H490">
            <v>45258</v>
          </cell>
          <cell r="I490" t="str">
            <v xml:space="preserve">STANDARD </v>
          </cell>
          <cell r="J490">
            <v>1997001826</v>
          </cell>
          <cell r="K490" t="str">
            <v>SURANTO</v>
          </cell>
          <cell r="L490" t="str">
            <v>SUR</v>
          </cell>
          <cell r="M490">
            <v>2003002660</v>
          </cell>
          <cell r="N490" t="str">
            <v>ARIS WIDIANTO</v>
          </cell>
          <cell r="O490" t="str">
            <v>AWO</v>
          </cell>
          <cell r="P490" t="str">
            <v>idF97A@jbr.indomaret.co.id</v>
          </cell>
          <cell r="Q490" t="str">
            <v>KAB. JEMBER</v>
          </cell>
          <cell r="R490" t="str">
            <v>SDS</v>
          </cell>
        </row>
        <row r="491">
          <cell r="D491" t="str">
            <v>FAZ1</v>
          </cell>
          <cell r="E491" t="str">
            <v>TA14</v>
          </cell>
          <cell r="F491" t="str">
            <v>WULUHAN</v>
          </cell>
          <cell r="G491" t="str">
            <v>F</v>
          </cell>
          <cell r="H491">
            <v>44378</v>
          </cell>
          <cell r="I491" t="str">
            <v xml:space="preserve">STANDARD </v>
          </cell>
          <cell r="J491">
            <v>1997001826</v>
          </cell>
          <cell r="K491" t="str">
            <v>SURANTO</v>
          </cell>
          <cell r="L491" t="str">
            <v>SUR</v>
          </cell>
          <cell r="M491">
            <v>2003002660</v>
          </cell>
          <cell r="N491" t="str">
            <v>ARIS WIDIANTO</v>
          </cell>
          <cell r="O491" t="str">
            <v>AWO</v>
          </cell>
          <cell r="P491" t="str">
            <v>idFAZ1@jbr.indomaret.co.id</v>
          </cell>
          <cell r="Q491" t="str">
            <v>KAB. JEMBER</v>
          </cell>
          <cell r="R491" t="str">
            <v>SDS</v>
          </cell>
        </row>
        <row r="492">
          <cell r="D492" t="str">
            <v>FNDI</v>
          </cell>
          <cell r="E492" t="str">
            <v>TT24</v>
          </cell>
          <cell r="F492" t="str">
            <v>KERTONEGORO - JBR</v>
          </cell>
          <cell r="G492" t="str">
            <v>F</v>
          </cell>
          <cell r="H492">
            <v>45778</v>
          </cell>
          <cell r="I492" t="str">
            <v xml:space="preserve">STANDARD </v>
          </cell>
          <cell r="J492">
            <v>1997001826</v>
          </cell>
          <cell r="K492" t="str">
            <v>SURANTO</v>
          </cell>
          <cell r="L492" t="str">
            <v>SUR</v>
          </cell>
          <cell r="M492">
            <v>2003002660</v>
          </cell>
          <cell r="N492" t="str">
            <v>ARIS WIDIANTO</v>
          </cell>
          <cell r="O492" t="str">
            <v>AWO</v>
          </cell>
          <cell r="P492" t="str">
            <v>idFNDI@jbr.indomaret.co.id</v>
          </cell>
          <cell r="Q492" t="str">
            <v>KAB. JEMBER</v>
          </cell>
          <cell r="R492" t="str">
            <v>SDS</v>
          </cell>
        </row>
        <row r="493">
          <cell r="D493" t="str">
            <v>T18A</v>
          </cell>
          <cell r="E493" t="str">
            <v/>
          </cell>
          <cell r="F493" t="str">
            <v>WULUHAN 2</v>
          </cell>
          <cell r="G493" t="str">
            <v>R</v>
          </cell>
          <cell r="H493">
            <v>39840</v>
          </cell>
          <cell r="I493" t="str">
            <v xml:space="preserve">STANDARD </v>
          </cell>
          <cell r="J493">
            <v>1997001826</v>
          </cell>
          <cell r="K493" t="str">
            <v>SURANTO</v>
          </cell>
          <cell r="L493" t="str">
            <v>SUR</v>
          </cell>
          <cell r="M493">
            <v>2003002660</v>
          </cell>
          <cell r="N493" t="str">
            <v>ARIS WIDIANTO</v>
          </cell>
          <cell r="O493" t="str">
            <v>AWO</v>
          </cell>
          <cell r="P493" t="str">
            <v>idmT18A@jbr.indomaret.co.id</v>
          </cell>
          <cell r="Q493" t="str">
            <v>KAB. JEMBER</v>
          </cell>
          <cell r="R493" t="str">
            <v>SDS</v>
          </cell>
        </row>
        <row r="494">
          <cell r="D494" t="str">
            <v>T3MT</v>
          </cell>
          <cell r="E494" t="str">
            <v/>
          </cell>
          <cell r="F494" t="str">
            <v>RAYA KARANGANYAR - JEMBER</v>
          </cell>
          <cell r="G494" t="str">
            <v>R</v>
          </cell>
          <cell r="H494">
            <v>41455</v>
          </cell>
          <cell r="I494" t="str">
            <v xml:space="preserve">STANDARD </v>
          </cell>
          <cell r="J494">
            <v>1997001826</v>
          </cell>
          <cell r="K494" t="str">
            <v>SURANTO</v>
          </cell>
          <cell r="L494" t="str">
            <v>SUR</v>
          </cell>
          <cell r="M494">
            <v>2003002660</v>
          </cell>
          <cell r="N494" t="str">
            <v>ARIS WIDIANTO</v>
          </cell>
          <cell r="O494" t="str">
            <v>AWO</v>
          </cell>
          <cell r="P494" t="str">
            <v>idmT3MT@jbr.indomaret.co.id</v>
          </cell>
          <cell r="Q494" t="str">
            <v>KAB. JEMBER</v>
          </cell>
          <cell r="R494" t="str">
            <v>SDS</v>
          </cell>
        </row>
        <row r="495">
          <cell r="D495" t="str">
            <v>T639</v>
          </cell>
          <cell r="E495" t="str">
            <v/>
          </cell>
          <cell r="F495" t="str">
            <v>AMBULU</v>
          </cell>
          <cell r="G495" t="str">
            <v>R</v>
          </cell>
          <cell r="H495">
            <v>37918</v>
          </cell>
          <cell r="I495" t="str">
            <v>STANDARD NEW</v>
          </cell>
          <cell r="J495">
            <v>1997001826</v>
          </cell>
          <cell r="K495" t="str">
            <v>SURANTO</v>
          </cell>
          <cell r="L495" t="str">
            <v>SUR</v>
          </cell>
          <cell r="M495">
            <v>2003002660</v>
          </cell>
          <cell r="N495" t="str">
            <v>ARIS WIDIANTO</v>
          </cell>
          <cell r="O495" t="str">
            <v>AWO</v>
          </cell>
          <cell r="P495" t="str">
            <v>idmT639@jbr.indomaret.co.id</v>
          </cell>
          <cell r="Q495" t="str">
            <v>KAB. JEMBER</v>
          </cell>
          <cell r="R495" t="str">
            <v>SDN</v>
          </cell>
        </row>
        <row r="496">
          <cell r="D496" t="str">
            <v>TAMQ</v>
          </cell>
          <cell r="E496" t="str">
            <v>FESX</v>
          </cell>
          <cell r="F496" t="str">
            <v>JENGGAWAH</v>
          </cell>
          <cell r="G496" t="str">
            <v>R</v>
          </cell>
          <cell r="H496">
            <v>43313</v>
          </cell>
          <cell r="I496" t="str">
            <v>STANDARD NEW</v>
          </cell>
          <cell r="J496">
            <v>1997001826</v>
          </cell>
          <cell r="K496" t="str">
            <v>SURANTO</v>
          </cell>
          <cell r="L496" t="str">
            <v>SUR</v>
          </cell>
          <cell r="M496">
            <v>2003002660</v>
          </cell>
          <cell r="N496" t="str">
            <v>ARIS WIDIANTO</v>
          </cell>
          <cell r="O496" t="str">
            <v>AWO</v>
          </cell>
          <cell r="P496" t="str">
            <v>idmTAMQ@jbr.indomaret.co.id</v>
          </cell>
          <cell r="Q496" t="str">
            <v>KAB. JEMBER</v>
          </cell>
          <cell r="R496" t="str">
            <v>SDN</v>
          </cell>
        </row>
        <row r="497">
          <cell r="D497" t="str">
            <v>TFFF</v>
          </cell>
          <cell r="E497" t="str">
            <v/>
          </cell>
          <cell r="F497" t="str">
            <v>DUKUH DEMPOK</v>
          </cell>
          <cell r="G497" t="str">
            <v>R</v>
          </cell>
          <cell r="H497">
            <v>42273</v>
          </cell>
          <cell r="I497" t="str">
            <v xml:space="preserve">STANDARD </v>
          </cell>
          <cell r="J497">
            <v>1997001826</v>
          </cell>
          <cell r="K497" t="str">
            <v>SURANTO</v>
          </cell>
          <cell r="L497" t="str">
            <v>SUR</v>
          </cell>
          <cell r="M497">
            <v>2003002660</v>
          </cell>
          <cell r="N497" t="str">
            <v>ARIS WIDIANTO</v>
          </cell>
          <cell r="O497" t="str">
            <v>AWO</v>
          </cell>
          <cell r="P497" t="str">
            <v>idmTFFF@jbr.indomaret.co.id</v>
          </cell>
          <cell r="Q497" t="str">
            <v>KAB. JEMBER</v>
          </cell>
          <cell r="R497" t="str">
            <v>SDS</v>
          </cell>
        </row>
        <row r="498">
          <cell r="D498" t="str">
            <v>TGQT</v>
          </cell>
          <cell r="E498" t="str">
            <v/>
          </cell>
          <cell r="F498" t="str">
            <v>SABRANG</v>
          </cell>
          <cell r="G498" t="str">
            <v>R</v>
          </cell>
          <cell r="H498">
            <v>42490</v>
          </cell>
          <cell r="I498" t="str">
            <v xml:space="preserve">STANDARD </v>
          </cell>
          <cell r="J498">
            <v>1997001826</v>
          </cell>
          <cell r="K498" t="str">
            <v>SURANTO</v>
          </cell>
          <cell r="L498" t="str">
            <v>SUR</v>
          </cell>
          <cell r="M498">
            <v>2003002660</v>
          </cell>
          <cell r="N498" t="str">
            <v>ARIS WIDIANTO</v>
          </cell>
          <cell r="O498" t="str">
            <v>AWO</v>
          </cell>
          <cell r="P498" t="str">
            <v>idmTGQT@jbr.indomaret.co.id</v>
          </cell>
          <cell r="Q498" t="str">
            <v>KAB. JEMBER</v>
          </cell>
          <cell r="R498" t="str">
            <v>SDS</v>
          </cell>
        </row>
        <row r="499">
          <cell r="D499" t="str">
            <v>THPN</v>
          </cell>
          <cell r="E499" t="str">
            <v/>
          </cell>
          <cell r="F499" t="str">
            <v>BALUNG KIDUL - JBR</v>
          </cell>
          <cell r="G499" t="str">
            <v>R</v>
          </cell>
          <cell r="H499">
            <v>40907</v>
          </cell>
          <cell r="I499" t="str">
            <v xml:space="preserve">STANDARD </v>
          </cell>
          <cell r="J499">
            <v>1997001826</v>
          </cell>
          <cell r="K499" t="str">
            <v>SURANTO</v>
          </cell>
          <cell r="L499" t="str">
            <v>SUR</v>
          </cell>
          <cell r="M499">
            <v>2003002660</v>
          </cell>
          <cell r="N499" t="str">
            <v>ARIS WIDIANTO</v>
          </cell>
          <cell r="O499" t="str">
            <v>AWO</v>
          </cell>
          <cell r="P499" t="str">
            <v>idmTHPN@jbr.indomaret.co.id</v>
          </cell>
          <cell r="Q499" t="str">
            <v>KAB. JEMBER</v>
          </cell>
          <cell r="R499" t="str">
            <v>SDS</v>
          </cell>
        </row>
        <row r="500">
          <cell r="D500" t="str">
            <v>TSES</v>
          </cell>
          <cell r="E500" t="str">
            <v/>
          </cell>
          <cell r="F500" t="str">
            <v>WONOJATI JEMBER</v>
          </cell>
          <cell r="G500" t="str">
            <v>R</v>
          </cell>
          <cell r="H500">
            <v>41628</v>
          </cell>
          <cell r="I500" t="str">
            <v xml:space="preserve">STANDARD </v>
          </cell>
          <cell r="J500">
            <v>1997001826</v>
          </cell>
          <cell r="K500" t="str">
            <v>SURANTO</v>
          </cell>
          <cell r="L500" t="str">
            <v>SUR</v>
          </cell>
          <cell r="M500">
            <v>2003002660</v>
          </cell>
          <cell r="N500" t="str">
            <v>ARIS WIDIANTO</v>
          </cell>
          <cell r="O500" t="str">
            <v>AWO</v>
          </cell>
          <cell r="P500" t="str">
            <v>idmTSES@jbr.indomaret.co.id</v>
          </cell>
          <cell r="Q500" t="str">
            <v>KAB. JEMBER</v>
          </cell>
          <cell r="R500" t="str">
            <v>SDS</v>
          </cell>
        </row>
        <row r="501">
          <cell r="D501" t="str">
            <v>TVDP</v>
          </cell>
          <cell r="E501" t="str">
            <v/>
          </cell>
          <cell r="F501" t="str">
            <v>KOTTA BLATER 59 JEMBER</v>
          </cell>
          <cell r="G501" t="str">
            <v>R</v>
          </cell>
          <cell r="H501">
            <v>41628</v>
          </cell>
          <cell r="I501" t="str">
            <v xml:space="preserve">STANDARD </v>
          </cell>
          <cell r="J501">
            <v>1997001826</v>
          </cell>
          <cell r="K501" t="str">
            <v>SURANTO</v>
          </cell>
          <cell r="L501" t="str">
            <v>SUR</v>
          </cell>
          <cell r="M501">
            <v>2003002660</v>
          </cell>
          <cell r="N501" t="str">
            <v>ARIS WIDIANTO</v>
          </cell>
          <cell r="O501" t="str">
            <v>AWO</v>
          </cell>
          <cell r="P501" t="str">
            <v>idmTVDP@jbr.indomaret.co.id</v>
          </cell>
          <cell r="Q501" t="str">
            <v>KAB. JEMBER</v>
          </cell>
          <cell r="R501" t="str">
            <v>SDS</v>
          </cell>
        </row>
        <row r="502">
          <cell r="D502" t="str">
            <v>TZAB</v>
          </cell>
          <cell r="E502" t="str">
            <v/>
          </cell>
          <cell r="F502" t="str">
            <v>PERHUTANI AMBULU</v>
          </cell>
          <cell r="G502" t="str">
            <v>R</v>
          </cell>
          <cell r="H502">
            <v>42053</v>
          </cell>
          <cell r="I502" t="str">
            <v xml:space="preserve">STANDARD </v>
          </cell>
          <cell r="J502">
            <v>1997001826</v>
          </cell>
          <cell r="K502" t="str">
            <v>SURANTO</v>
          </cell>
          <cell r="L502" t="str">
            <v>SUR</v>
          </cell>
          <cell r="M502">
            <v>2003002660</v>
          </cell>
          <cell r="N502" t="str">
            <v>ARIS WIDIANTO</v>
          </cell>
          <cell r="O502" t="str">
            <v>AWO</v>
          </cell>
          <cell r="P502" t="str">
            <v>idmTZAB@jbr.indomaret.co.id</v>
          </cell>
          <cell r="Q502" t="str">
            <v>KAB. JEMBER</v>
          </cell>
          <cell r="R502" t="str">
            <v>SDS</v>
          </cell>
        </row>
        <row r="503">
          <cell r="D503" t="str">
            <v>T97A</v>
          </cell>
          <cell r="E503" t="str">
            <v/>
          </cell>
          <cell r="F503" t="str">
            <v>GAJAH MADA - JEMBER</v>
          </cell>
          <cell r="G503" t="str">
            <v>R</v>
          </cell>
          <cell r="H503">
            <v>39872</v>
          </cell>
          <cell r="I503" t="str">
            <v>STANDARD NEW</v>
          </cell>
          <cell r="J503">
            <v>1997001826</v>
          </cell>
          <cell r="K503" t="str">
            <v>SURANTO</v>
          </cell>
          <cell r="L503" t="str">
            <v>SUR</v>
          </cell>
          <cell r="M503">
            <v>2013193339</v>
          </cell>
          <cell r="N503" t="str">
            <v>HENGKI PRADANA</v>
          </cell>
          <cell r="O503" t="str">
            <v>HPA</v>
          </cell>
          <cell r="P503" t="str">
            <v>idmT97A@jbr.indomaret.co.id</v>
          </cell>
          <cell r="Q503" t="str">
            <v>KAB. JEMBER</v>
          </cell>
          <cell r="R503" t="str">
            <v>SDN</v>
          </cell>
        </row>
        <row r="504">
          <cell r="D504" t="str">
            <v>TBOS</v>
          </cell>
          <cell r="E504" t="str">
            <v/>
          </cell>
          <cell r="F504" t="str">
            <v>TERMINAL TAWANG ALUN</v>
          </cell>
          <cell r="G504" t="str">
            <v>R</v>
          </cell>
          <cell r="H504">
            <v>42335</v>
          </cell>
          <cell r="I504" t="str">
            <v xml:space="preserve">STANDARD </v>
          </cell>
          <cell r="J504">
            <v>1997001826</v>
          </cell>
          <cell r="K504" t="str">
            <v>SURANTO</v>
          </cell>
          <cell r="L504" t="str">
            <v>SUR</v>
          </cell>
          <cell r="M504">
            <v>2013193339</v>
          </cell>
          <cell r="N504" t="str">
            <v>HENGKI PRADANA</v>
          </cell>
          <cell r="O504" t="str">
            <v>HPA</v>
          </cell>
          <cell r="P504" t="str">
            <v>idmTBOS@jbr.indomaret.co.id</v>
          </cell>
          <cell r="Q504" t="str">
            <v>KAB. JEMBER</v>
          </cell>
          <cell r="R504" t="str">
            <v>SDS</v>
          </cell>
        </row>
        <row r="505">
          <cell r="D505" t="str">
            <v>TERQ</v>
          </cell>
          <cell r="E505" t="str">
            <v/>
          </cell>
          <cell r="F505" t="str">
            <v>SUTOYO</v>
          </cell>
          <cell r="G505" t="str">
            <v>R</v>
          </cell>
          <cell r="H505">
            <v>42521</v>
          </cell>
          <cell r="I505" t="str">
            <v xml:space="preserve">STANDARD </v>
          </cell>
          <cell r="J505">
            <v>1997001826</v>
          </cell>
          <cell r="K505" t="str">
            <v>SURANTO</v>
          </cell>
          <cell r="L505" t="str">
            <v>SUR</v>
          </cell>
          <cell r="M505">
            <v>2013193339</v>
          </cell>
          <cell r="N505" t="str">
            <v>HENGKI PRADANA</v>
          </cell>
          <cell r="O505" t="str">
            <v>HPA</v>
          </cell>
          <cell r="P505" t="str">
            <v>idmTERQ@jbr.indomaret.co.id</v>
          </cell>
          <cell r="Q505" t="str">
            <v>KAB. JEMBER</v>
          </cell>
          <cell r="R505" t="str">
            <v>SDS</v>
          </cell>
        </row>
        <row r="506">
          <cell r="D506" t="str">
            <v>TJAG</v>
          </cell>
          <cell r="E506" t="str">
            <v>FR38</v>
          </cell>
          <cell r="F506" t="str">
            <v>TAWANG ALUN - JEMBER</v>
          </cell>
          <cell r="G506" t="str">
            <v>R</v>
          </cell>
          <cell r="H506">
            <v>42095</v>
          </cell>
          <cell r="I506" t="str">
            <v xml:space="preserve">STANDARD </v>
          </cell>
          <cell r="J506">
            <v>1997001826</v>
          </cell>
          <cell r="K506" t="str">
            <v>SURANTO</v>
          </cell>
          <cell r="L506" t="str">
            <v>SUR</v>
          </cell>
          <cell r="M506">
            <v>2013193339</v>
          </cell>
          <cell r="N506" t="str">
            <v>HENGKI PRADANA</v>
          </cell>
          <cell r="O506" t="str">
            <v>HPA</v>
          </cell>
          <cell r="P506" t="str">
            <v>idmTJAG@jbr.indomaret.co.id</v>
          </cell>
          <cell r="Q506" t="str">
            <v>KAB. JEMBER</v>
          </cell>
          <cell r="R506" t="str">
            <v>SDS</v>
          </cell>
        </row>
        <row r="507">
          <cell r="D507" t="str">
            <v>TMLD</v>
          </cell>
          <cell r="E507" t="str">
            <v/>
          </cell>
          <cell r="F507" t="str">
            <v>LETJEND SUTOYO</v>
          </cell>
          <cell r="G507" t="str">
            <v>R</v>
          </cell>
          <cell r="H507">
            <v>42336</v>
          </cell>
          <cell r="I507" t="str">
            <v xml:space="preserve">STANDARD </v>
          </cell>
          <cell r="J507">
            <v>1997001826</v>
          </cell>
          <cell r="K507" t="str">
            <v>SURANTO</v>
          </cell>
          <cell r="L507" t="str">
            <v>SUR</v>
          </cell>
          <cell r="M507">
            <v>2013193339</v>
          </cell>
          <cell r="N507" t="str">
            <v>HENGKI PRADANA</v>
          </cell>
          <cell r="O507" t="str">
            <v>HPA</v>
          </cell>
          <cell r="P507" t="str">
            <v>idmTMLD@jbr.indomaret.co.id</v>
          </cell>
          <cell r="Q507" t="str">
            <v>KAB. JEMBER</v>
          </cell>
          <cell r="R507" t="str">
            <v>SDS</v>
          </cell>
        </row>
        <row r="508">
          <cell r="D508" t="str">
            <v>TONY</v>
          </cell>
          <cell r="E508" t="str">
            <v>FAOE</v>
          </cell>
          <cell r="F508" t="str">
            <v>LETJEN SUPRAPTO 33</v>
          </cell>
          <cell r="G508" t="str">
            <v>R</v>
          </cell>
          <cell r="H508">
            <v>44136</v>
          </cell>
          <cell r="I508" t="str">
            <v xml:space="preserve">STANDARD </v>
          </cell>
          <cell r="J508">
            <v>1997001826</v>
          </cell>
          <cell r="K508" t="str">
            <v>SURANTO</v>
          </cell>
          <cell r="L508" t="str">
            <v>SUR</v>
          </cell>
          <cell r="M508">
            <v>2013193339</v>
          </cell>
          <cell r="N508" t="str">
            <v>HENGKI PRADANA</v>
          </cell>
          <cell r="O508" t="str">
            <v>HPA</v>
          </cell>
          <cell r="P508" t="str">
            <v>idTONY@jbr.indomaret.co.id</v>
          </cell>
          <cell r="Q508" t="str">
            <v>KAB. JEMBER</v>
          </cell>
          <cell r="R508" t="str">
            <v>SDS</v>
          </cell>
        </row>
        <row r="509">
          <cell r="D509" t="str">
            <v>TOT2</v>
          </cell>
          <cell r="E509" t="str">
            <v/>
          </cell>
          <cell r="F509" t="str">
            <v>HAYAM WURUK 280 JEMBER</v>
          </cell>
          <cell r="G509" t="str">
            <v>R</v>
          </cell>
          <cell r="H509">
            <v>41684</v>
          </cell>
          <cell r="I509" t="str">
            <v xml:space="preserve">STANDARD </v>
          </cell>
          <cell r="J509">
            <v>1997001826</v>
          </cell>
          <cell r="K509" t="str">
            <v>SURANTO</v>
          </cell>
          <cell r="L509" t="str">
            <v>SUR</v>
          </cell>
          <cell r="M509">
            <v>2013193339</v>
          </cell>
          <cell r="N509" t="str">
            <v>HENGKI PRADANA</v>
          </cell>
          <cell r="O509" t="str">
            <v>HPA</v>
          </cell>
          <cell r="P509" t="str">
            <v>idmTOT2@jbr.indomaret.co.id</v>
          </cell>
          <cell r="Q509" t="str">
            <v>KAB. JEMBER</v>
          </cell>
          <cell r="R509" t="str">
            <v>SDS</v>
          </cell>
        </row>
        <row r="510">
          <cell r="D510" t="str">
            <v>TRIO</v>
          </cell>
          <cell r="E510" t="str">
            <v/>
          </cell>
          <cell r="F510" t="str">
            <v>S PARMAN 28</v>
          </cell>
          <cell r="G510" t="str">
            <v>R</v>
          </cell>
          <cell r="H510">
            <v>41725</v>
          </cell>
          <cell r="I510" t="str">
            <v xml:space="preserve">STANDARD </v>
          </cell>
          <cell r="J510">
            <v>1997001826</v>
          </cell>
          <cell r="K510" t="str">
            <v>SURANTO</v>
          </cell>
          <cell r="L510" t="str">
            <v>SUR</v>
          </cell>
          <cell r="M510">
            <v>2013193339</v>
          </cell>
          <cell r="N510" t="str">
            <v>HENGKI PRADANA</v>
          </cell>
          <cell r="O510" t="str">
            <v>HPA</v>
          </cell>
          <cell r="P510" t="str">
            <v>idmTRIO@jbr.indomaret.co.id</v>
          </cell>
          <cell r="Q510" t="str">
            <v>KAB. JEMBER</v>
          </cell>
          <cell r="R510" t="str">
            <v>SDS</v>
          </cell>
        </row>
        <row r="511">
          <cell r="D511" t="str">
            <v>TRT4</v>
          </cell>
          <cell r="E511" t="str">
            <v/>
          </cell>
          <cell r="F511" t="str">
            <v>RAYA PANJAITAN 133</v>
          </cell>
          <cell r="G511" t="str">
            <v>R</v>
          </cell>
          <cell r="H511">
            <v>41177</v>
          </cell>
          <cell r="I511" t="str">
            <v xml:space="preserve">STANDARD </v>
          </cell>
          <cell r="J511">
            <v>1997001826</v>
          </cell>
          <cell r="K511" t="str">
            <v>SURANTO</v>
          </cell>
          <cell r="L511" t="str">
            <v>SUR</v>
          </cell>
          <cell r="M511">
            <v>2013193339</v>
          </cell>
          <cell r="N511" t="str">
            <v>HENGKI PRADANA</v>
          </cell>
          <cell r="O511" t="str">
            <v>HPA</v>
          </cell>
          <cell r="P511" t="str">
            <v>idmTRT4@jbr.indomaret.co.id</v>
          </cell>
          <cell r="Q511" t="str">
            <v>KAB. JEMBER</v>
          </cell>
          <cell r="R511" t="str">
            <v>SDS</v>
          </cell>
        </row>
        <row r="512">
          <cell r="D512" t="str">
            <v>TT2T</v>
          </cell>
          <cell r="E512" t="str">
            <v/>
          </cell>
          <cell r="F512" t="str">
            <v>KALIWATES JEMBER</v>
          </cell>
          <cell r="G512" t="str">
            <v>R</v>
          </cell>
          <cell r="H512">
            <v>41604</v>
          </cell>
          <cell r="I512" t="str">
            <v xml:space="preserve">STANDARD </v>
          </cell>
          <cell r="J512">
            <v>1997001826</v>
          </cell>
          <cell r="K512" t="str">
            <v>SURANTO</v>
          </cell>
          <cell r="L512" t="str">
            <v>SUR</v>
          </cell>
          <cell r="M512">
            <v>2013193339</v>
          </cell>
          <cell r="N512" t="str">
            <v>HENGKI PRADANA</v>
          </cell>
          <cell r="O512" t="str">
            <v>HPA</v>
          </cell>
          <cell r="P512" t="str">
            <v>idmTT2T@jbr.indomaret.co.id</v>
          </cell>
          <cell r="Q512" t="str">
            <v>KAB. JEMBER</v>
          </cell>
          <cell r="R512" t="str">
            <v>SDS</v>
          </cell>
        </row>
        <row r="513">
          <cell r="D513" t="str">
            <v>TWIG</v>
          </cell>
          <cell r="E513" t="str">
            <v/>
          </cell>
          <cell r="F513" t="str">
            <v>RAYA BRAWIJAYA 59</v>
          </cell>
          <cell r="G513" t="str">
            <v>R</v>
          </cell>
          <cell r="H513">
            <v>41391</v>
          </cell>
          <cell r="I513" t="str">
            <v xml:space="preserve">STANDARD </v>
          </cell>
          <cell r="J513">
            <v>1997001826</v>
          </cell>
          <cell r="K513" t="str">
            <v>SURANTO</v>
          </cell>
          <cell r="L513" t="str">
            <v>SUR</v>
          </cell>
          <cell r="M513">
            <v>2013193339</v>
          </cell>
          <cell r="N513" t="str">
            <v>HENGKI PRADANA</v>
          </cell>
          <cell r="O513" t="str">
            <v>HPA</v>
          </cell>
          <cell r="P513" t="str">
            <v>idmTWIG@jbr.indomaret.co.id</v>
          </cell>
          <cell r="Q513" t="str">
            <v>KAB. JEMBER</v>
          </cell>
          <cell r="R513" t="str">
            <v>SDS</v>
          </cell>
        </row>
        <row r="514">
          <cell r="D514" t="str">
            <v>TWW7</v>
          </cell>
          <cell r="E514" t="str">
            <v/>
          </cell>
          <cell r="F514" t="str">
            <v>MANGLI 89 - JEMBER</v>
          </cell>
          <cell r="G514" t="str">
            <v>R</v>
          </cell>
          <cell r="H514">
            <v>41669</v>
          </cell>
          <cell r="I514" t="str">
            <v xml:space="preserve">STANDARD </v>
          </cell>
          <cell r="J514">
            <v>1997001826</v>
          </cell>
          <cell r="K514" t="str">
            <v>SURANTO</v>
          </cell>
          <cell r="L514" t="str">
            <v>SUR</v>
          </cell>
          <cell r="M514">
            <v>2013193339</v>
          </cell>
          <cell r="N514" t="str">
            <v>HENGKI PRADANA</v>
          </cell>
          <cell r="O514" t="str">
            <v>HPA</v>
          </cell>
          <cell r="P514" t="str">
            <v>idmTWW7@jbr.indomaret.co.id</v>
          </cell>
          <cell r="Q514" t="str">
            <v>KAB. JEMBER</v>
          </cell>
          <cell r="R514" t="str">
            <v>SDS</v>
          </cell>
        </row>
        <row r="515">
          <cell r="D515" t="str">
            <v>TXUS</v>
          </cell>
          <cell r="E515" t="str">
            <v/>
          </cell>
          <cell r="F515" t="str">
            <v>RAINBOW SQUARE</v>
          </cell>
          <cell r="G515" t="str">
            <v>R</v>
          </cell>
          <cell r="H515">
            <v>42369</v>
          </cell>
          <cell r="I515" t="str">
            <v xml:space="preserve">STANDARD </v>
          </cell>
          <cell r="J515">
            <v>1997001826</v>
          </cell>
          <cell r="K515" t="str">
            <v>SURANTO</v>
          </cell>
          <cell r="L515" t="str">
            <v>SUR</v>
          </cell>
          <cell r="M515">
            <v>2013193339</v>
          </cell>
          <cell r="N515" t="str">
            <v>HENGKI PRADANA</v>
          </cell>
          <cell r="O515" t="str">
            <v>HPA</v>
          </cell>
          <cell r="P515" t="str">
            <v>idmTXUS@jbr.indomaret.co.id</v>
          </cell>
          <cell r="Q515" t="str">
            <v>KAB. JEMBER</v>
          </cell>
          <cell r="R515" t="str">
            <v>SDS</v>
          </cell>
        </row>
        <row r="516">
          <cell r="D516" t="str">
            <v>FFJC</v>
          </cell>
          <cell r="E516" t="str">
            <v>TNI1</v>
          </cell>
          <cell r="F516" t="str">
            <v>RAYA MANGGAR - JEMBER</v>
          </cell>
          <cell r="G516" t="str">
            <v>F</v>
          </cell>
          <cell r="H516">
            <v>45901</v>
          </cell>
          <cell r="I516" t="str">
            <v xml:space="preserve">STANDARD </v>
          </cell>
          <cell r="J516">
            <v>1997001826</v>
          </cell>
          <cell r="K516" t="str">
            <v>SURANTO</v>
          </cell>
          <cell r="L516" t="str">
            <v>SUR</v>
          </cell>
          <cell r="M516">
            <v>2006008086</v>
          </cell>
          <cell r="N516" t="str">
            <v>IWAN HERMAWANTO</v>
          </cell>
          <cell r="O516" t="str">
            <v>IHO</v>
          </cell>
          <cell r="P516" t="str">
            <v>idmTNI1@jbr.indomaret.co.id</v>
          </cell>
          <cell r="Q516" t="str">
            <v>KAB. JEMBER</v>
          </cell>
          <cell r="R516" t="str">
            <v>SDS</v>
          </cell>
        </row>
        <row r="517">
          <cell r="D517" t="str">
            <v>FLOC</v>
          </cell>
          <cell r="E517" t="str">
            <v/>
          </cell>
          <cell r="F517" t="str">
            <v>DR.SOEBANDI 2</v>
          </cell>
          <cell r="G517" t="str">
            <v>F</v>
          </cell>
          <cell r="H517">
            <v>45350</v>
          </cell>
          <cell r="I517" t="str">
            <v xml:space="preserve">STANDARD </v>
          </cell>
          <cell r="J517">
            <v>1997001826</v>
          </cell>
          <cell r="K517" t="str">
            <v>SURANTO</v>
          </cell>
          <cell r="L517" t="str">
            <v>SUR</v>
          </cell>
          <cell r="M517">
            <v>2006008086</v>
          </cell>
          <cell r="N517" t="str">
            <v>IWAN HERMAWANTO</v>
          </cell>
          <cell r="O517" t="str">
            <v>IHO</v>
          </cell>
          <cell r="P517" t="str">
            <v>idFLOC@jbr.indomaret.co.id</v>
          </cell>
          <cell r="Q517" t="str">
            <v>KAB. JEMBER</v>
          </cell>
          <cell r="R517" t="str">
            <v>SDS</v>
          </cell>
        </row>
        <row r="518">
          <cell r="D518" t="str">
            <v>T1P8</v>
          </cell>
          <cell r="E518" t="str">
            <v/>
          </cell>
          <cell r="F518" t="str">
            <v>WIROWONGSO</v>
          </cell>
          <cell r="G518" t="str">
            <v>R</v>
          </cell>
          <cell r="H518">
            <v>40990</v>
          </cell>
          <cell r="I518" t="str">
            <v xml:space="preserve">STANDARD </v>
          </cell>
          <cell r="J518">
            <v>1997001826</v>
          </cell>
          <cell r="K518" t="str">
            <v>SURANTO</v>
          </cell>
          <cell r="L518" t="str">
            <v>SUR</v>
          </cell>
          <cell r="M518">
            <v>2006008086</v>
          </cell>
          <cell r="N518" t="str">
            <v>IWAN HERMAWANTO</v>
          </cell>
          <cell r="O518" t="str">
            <v>IHO</v>
          </cell>
          <cell r="P518" t="str">
            <v>idmT1P8@jbr.indomaret.co.id</v>
          </cell>
          <cell r="Q518" t="str">
            <v>KAB. JEMBER</v>
          </cell>
          <cell r="R518" t="str">
            <v>SDS</v>
          </cell>
        </row>
        <row r="519">
          <cell r="D519" t="str">
            <v>T2D4</v>
          </cell>
          <cell r="E519" t="str">
            <v/>
          </cell>
          <cell r="F519" t="str">
            <v>LUMBA-LUMBA - JBR</v>
          </cell>
          <cell r="G519" t="str">
            <v>R</v>
          </cell>
          <cell r="H519">
            <v>41347</v>
          </cell>
          <cell r="I519" t="str">
            <v xml:space="preserve">STANDARD </v>
          </cell>
          <cell r="J519">
            <v>1997001826</v>
          </cell>
          <cell r="K519" t="str">
            <v>SURANTO</v>
          </cell>
          <cell r="L519" t="str">
            <v>SUR</v>
          </cell>
          <cell r="M519">
            <v>2006008086</v>
          </cell>
          <cell r="N519" t="str">
            <v>IWAN HERMAWANTO</v>
          </cell>
          <cell r="O519" t="str">
            <v>IHO</v>
          </cell>
          <cell r="P519" t="str">
            <v>idmT2D4@jbr.indomaret.co.id</v>
          </cell>
          <cell r="Q519" t="str">
            <v>KAB. JEMBER</v>
          </cell>
          <cell r="R519" t="str">
            <v>SDS</v>
          </cell>
        </row>
        <row r="520">
          <cell r="D520" t="str">
            <v>T3VL</v>
          </cell>
          <cell r="E520" t="str">
            <v/>
          </cell>
          <cell r="F520" t="str">
            <v>KENANGA - JBR</v>
          </cell>
          <cell r="G520" t="str">
            <v>R</v>
          </cell>
          <cell r="H520">
            <v>40843</v>
          </cell>
          <cell r="I520" t="str">
            <v xml:space="preserve">STANDARD </v>
          </cell>
          <cell r="J520">
            <v>1997001826</v>
          </cell>
          <cell r="K520" t="str">
            <v>SURANTO</v>
          </cell>
          <cell r="L520" t="str">
            <v>SUR</v>
          </cell>
          <cell r="M520">
            <v>2006008086</v>
          </cell>
          <cell r="N520" t="str">
            <v>IWAN HERMAWANTO</v>
          </cell>
          <cell r="O520" t="str">
            <v>IHO</v>
          </cell>
          <cell r="P520" t="str">
            <v>idmT3VL@jbr.indomaret.co.id</v>
          </cell>
          <cell r="Q520" t="str">
            <v>KAB. JEMBER</v>
          </cell>
          <cell r="R520" t="str">
            <v>SDS</v>
          </cell>
        </row>
        <row r="521">
          <cell r="D521" t="str">
            <v>T7AL</v>
          </cell>
          <cell r="E521" t="str">
            <v/>
          </cell>
          <cell r="F521" t="str">
            <v>KACA PIRING -  JEMBER</v>
          </cell>
          <cell r="G521" t="str">
            <v>R</v>
          </cell>
          <cell r="H521">
            <v>40117</v>
          </cell>
          <cell r="I521" t="str">
            <v xml:space="preserve">STANDARD </v>
          </cell>
          <cell r="J521">
            <v>1997001826</v>
          </cell>
          <cell r="K521" t="str">
            <v>SURANTO</v>
          </cell>
          <cell r="L521" t="str">
            <v>SUR</v>
          </cell>
          <cell r="M521">
            <v>2006008086</v>
          </cell>
          <cell r="N521" t="str">
            <v>IWAN HERMAWANTO</v>
          </cell>
          <cell r="O521" t="str">
            <v>IHO</v>
          </cell>
          <cell r="P521" t="str">
            <v>idmT7AL@jbr.indomaret.co.id</v>
          </cell>
          <cell r="Q521" t="str">
            <v>KAB. JEMBER</v>
          </cell>
          <cell r="R521" t="str">
            <v>SDS</v>
          </cell>
        </row>
        <row r="522">
          <cell r="D522" t="str">
            <v>TA9A</v>
          </cell>
          <cell r="E522" t="str">
            <v/>
          </cell>
          <cell r="F522" t="str">
            <v>UDANG WINDU</v>
          </cell>
          <cell r="G522" t="str">
            <v>R</v>
          </cell>
          <cell r="H522">
            <v>40347</v>
          </cell>
          <cell r="I522" t="str">
            <v xml:space="preserve">STANDARD </v>
          </cell>
          <cell r="J522">
            <v>1997001826</v>
          </cell>
          <cell r="K522" t="str">
            <v>SURANTO</v>
          </cell>
          <cell r="L522" t="str">
            <v>SUR</v>
          </cell>
          <cell r="M522">
            <v>2006008086</v>
          </cell>
          <cell r="N522" t="str">
            <v>IWAN HERMAWANTO</v>
          </cell>
          <cell r="O522" t="str">
            <v>IHO</v>
          </cell>
          <cell r="P522" t="str">
            <v>idmTA9A@jbr.indomaret.co.id</v>
          </cell>
          <cell r="Q522" t="str">
            <v>KAB. JEMBER</v>
          </cell>
          <cell r="R522" t="str">
            <v>SDS</v>
          </cell>
        </row>
        <row r="523">
          <cell r="D523" t="str">
            <v>TCGR</v>
          </cell>
          <cell r="E523" t="str">
            <v/>
          </cell>
          <cell r="F523" t="str">
            <v>KREYONGAN SOEBANDI</v>
          </cell>
          <cell r="G523" t="str">
            <v>R</v>
          </cell>
          <cell r="H523">
            <v>42369</v>
          </cell>
          <cell r="I523" t="str">
            <v xml:space="preserve">STANDARD </v>
          </cell>
          <cell r="J523">
            <v>1997001826</v>
          </cell>
          <cell r="K523" t="str">
            <v>SURANTO</v>
          </cell>
          <cell r="L523" t="str">
            <v>SUR</v>
          </cell>
          <cell r="M523">
            <v>2006008086</v>
          </cell>
          <cell r="N523" t="str">
            <v>IWAN HERMAWANTO</v>
          </cell>
          <cell r="O523" t="str">
            <v>IHO</v>
          </cell>
          <cell r="P523" t="str">
            <v>idmTCGR@jbr.indomaret.co.id</v>
          </cell>
          <cell r="Q523" t="str">
            <v>KAB. JEMBER</v>
          </cell>
          <cell r="R523" t="str">
            <v>SDS</v>
          </cell>
        </row>
        <row r="524">
          <cell r="D524" t="str">
            <v>TGHD</v>
          </cell>
          <cell r="E524" t="str">
            <v/>
          </cell>
          <cell r="F524" t="str">
            <v>GAJAH MADA 2 -  JBR</v>
          </cell>
          <cell r="G524" t="str">
            <v>R</v>
          </cell>
          <cell r="H524">
            <v>40842</v>
          </cell>
          <cell r="I524" t="str">
            <v xml:space="preserve">STANDARD </v>
          </cell>
          <cell r="J524">
            <v>1997001826</v>
          </cell>
          <cell r="K524" t="str">
            <v>SURANTO</v>
          </cell>
          <cell r="L524" t="str">
            <v>SUR</v>
          </cell>
          <cell r="M524">
            <v>2006008086</v>
          </cell>
          <cell r="N524" t="str">
            <v>IWAN HERMAWANTO</v>
          </cell>
          <cell r="O524" t="str">
            <v>IHO</v>
          </cell>
          <cell r="P524" t="str">
            <v>idmTGHD@jbr.indomaret.co.id</v>
          </cell>
          <cell r="Q524" t="str">
            <v>KAB. JEMBER</v>
          </cell>
          <cell r="R524" t="str">
            <v>SDS</v>
          </cell>
        </row>
        <row r="525">
          <cell r="D525" t="str">
            <v>TLXH</v>
          </cell>
          <cell r="E525" t="str">
            <v>FC74</v>
          </cell>
          <cell r="F525" t="str">
            <v>BASUKI RAHMAD</v>
          </cell>
          <cell r="G525" t="str">
            <v>R</v>
          </cell>
          <cell r="H525">
            <v>41760</v>
          </cell>
          <cell r="I525" t="str">
            <v xml:space="preserve">STANDARD </v>
          </cell>
          <cell r="J525">
            <v>1997001826</v>
          </cell>
          <cell r="K525" t="str">
            <v>SURANTO</v>
          </cell>
          <cell r="L525" t="str">
            <v>SUR</v>
          </cell>
          <cell r="M525">
            <v>2006008086</v>
          </cell>
          <cell r="N525" t="str">
            <v>IWAN HERMAWANTO</v>
          </cell>
          <cell r="O525" t="str">
            <v>IHO</v>
          </cell>
          <cell r="P525" t="str">
            <v>idmTLXH@jbr.indomaret.co.id</v>
          </cell>
          <cell r="Q525" t="str">
            <v>KAB. JEMBER</v>
          </cell>
          <cell r="R525" t="str">
            <v>SDS</v>
          </cell>
        </row>
        <row r="526">
          <cell r="D526" t="str">
            <v>TTNN</v>
          </cell>
          <cell r="E526" t="str">
            <v/>
          </cell>
          <cell r="F526" t="str">
            <v>GEBANG KENANGA</v>
          </cell>
          <cell r="G526" t="str">
            <v>R</v>
          </cell>
          <cell r="H526">
            <v>42367</v>
          </cell>
          <cell r="I526" t="str">
            <v xml:space="preserve">STANDARD </v>
          </cell>
          <cell r="J526">
            <v>1997001826</v>
          </cell>
          <cell r="K526" t="str">
            <v>SURANTO</v>
          </cell>
          <cell r="L526" t="str">
            <v>SUR</v>
          </cell>
          <cell r="M526">
            <v>2006008086</v>
          </cell>
          <cell r="N526" t="str">
            <v>IWAN HERMAWANTO</v>
          </cell>
          <cell r="O526" t="str">
            <v>IHO</v>
          </cell>
          <cell r="P526" t="str">
            <v>idmTTNN@jbr.indomaret.co.id</v>
          </cell>
          <cell r="Q526" t="str">
            <v>KAB. JEMBER</v>
          </cell>
          <cell r="R526" t="str">
            <v>SDS</v>
          </cell>
        </row>
        <row r="527">
          <cell r="D527" t="str">
            <v>TUTI</v>
          </cell>
          <cell r="E527" t="str">
            <v/>
          </cell>
          <cell r="F527" t="str">
            <v>BASUKI RAHMAD 77</v>
          </cell>
          <cell r="G527" t="str">
            <v>R</v>
          </cell>
          <cell r="H527">
            <v>41746</v>
          </cell>
          <cell r="I527" t="str">
            <v xml:space="preserve">STANDARD </v>
          </cell>
          <cell r="J527">
            <v>1997001826</v>
          </cell>
          <cell r="K527" t="str">
            <v>SURANTO</v>
          </cell>
          <cell r="L527" t="str">
            <v>SUR</v>
          </cell>
          <cell r="M527">
            <v>2006008086</v>
          </cell>
          <cell r="N527" t="str">
            <v>IWAN HERMAWANTO</v>
          </cell>
          <cell r="O527" t="str">
            <v>IHO</v>
          </cell>
          <cell r="P527" t="str">
            <v>idmTUTI@jbr.indomaret.co.id</v>
          </cell>
          <cell r="Q527" t="str">
            <v>KAB. JEMBER</v>
          </cell>
          <cell r="R527" t="str">
            <v>SDS</v>
          </cell>
        </row>
        <row r="528">
          <cell r="D528" t="str">
            <v>TVPF</v>
          </cell>
          <cell r="E528" t="str">
            <v/>
          </cell>
          <cell r="F528" t="str">
            <v>CENDRAWASIH - JEMBER</v>
          </cell>
          <cell r="G528" t="str">
            <v>R</v>
          </cell>
          <cell r="H528">
            <v>40963</v>
          </cell>
          <cell r="I528" t="str">
            <v xml:space="preserve">STANDARD </v>
          </cell>
          <cell r="J528">
            <v>1997001826</v>
          </cell>
          <cell r="K528" t="str">
            <v>SURANTO</v>
          </cell>
          <cell r="L528" t="str">
            <v>SUR</v>
          </cell>
          <cell r="M528">
            <v>2006008086</v>
          </cell>
          <cell r="N528" t="str">
            <v>IWAN HERMAWANTO</v>
          </cell>
          <cell r="O528" t="str">
            <v>IHO</v>
          </cell>
          <cell r="P528" t="str">
            <v>idmTVPF@jbr.indomaret.co.id</v>
          </cell>
          <cell r="Q528" t="str">
            <v>KAB. JEMBER</v>
          </cell>
          <cell r="R528" t="str">
            <v>SDS</v>
          </cell>
        </row>
        <row r="529">
          <cell r="D529" t="str">
            <v>FGAM</v>
          </cell>
          <cell r="E529" t="str">
            <v>T6T6</v>
          </cell>
          <cell r="F529" t="str">
            <v>DR.SOEBANDI - JEMBER</v>
          </cell>
          <cell r="G529" t="str">
            <v>F</v>
          </cell>
          <cell r="H529">
            <v>45323</v>
          </cell>
          <cell r="I529" t="str">
            <v>STANDARD NEW</v>
          </cell>
          <cell r="J529">
            <v>1997001826</v>
          </cell>
          <cell r="K529" t="str">
            <v>SURANTO</v>
          </cell>
          <cell r="L529" t="str">
            <v>SUR</v>
          </cell>
          <cell r="M529">
            <v>2012029489</v>
          </cell>
          <cell r="N529" t="str">
            <v>MUHAMAD SAEFUL</v>
          </cell>
          <cell r="O529" t="str">
            <v>MSE</v>
          </cell>
          <cell r="P529" t="str">
            <v>idFGAM@jbr.indomaret.co.id</v>
          </cell>
          <cell r="Q529" t="str">
            <v>KAB. JEMBER</v>
          </cell>
          <cell r="R529" t="str">
            <v>SDN</v>
          </cell>
        </row>
        <row r="530">
          <cell r="D530" t="str">
            <v>FKCW</v>
          </cell>
          <cell r="E530" t="str">
            <v/>
          </cell>
          <cell r="F530" t="str">
            <v>WACHID HASYIM</v>
          </cell>
          <cell r="G530" t="str">
            <v>F</v>
          </cell>
          <cell r="H530">
            <v>44376</v>
          </cell>
          <cell r="I530" t="str">
            <v xml:space="preserve">STANDARD </v>
          </cell>
          <cell r="J530">
            <v>1997001826</v>
          </cell>
          <cell r="K530" t="str">
            <v>SURANTO</v>
          </cell>
          <cell r="L530" t="str">
            <v>SUR</v>
          </cell>
          <cell r="M530">
            <v>2012029489</v>
          </cell>
          <cell r="N530" t="str">
            <v>MUHAMAD SAEFUL</v>
          </cell>
          <cell r="O530" t="str">
            <v>MSE</v>
          </cell>
          <cell r="P530" t="str">
            <v>idFKCW@jbr.indomaret.co.id</v>
          </cell>
          <cell r="Q530" t="str">
            <v>KAB. JEMBER</v>
          </cell>
          <cell r="R530" t="str">
            <v>SDS</v>
          </cell>
        </row>
        <row r="531">
          <cell r="D531" t="str">
            <v>T2AA</v>
          </cell>
          <cell r="E531" t="str">
            <v/>
          </cell>
          <cell r="F531" t="str">
            <v>KARTINI</v>
          </cell>
          <cell r="G531" t="str">
            <v>R</v>
          </cell>
          <cell r="H531">
            <v>39893</v>
          </cell>
          <cell r="I531" t="str">
            <v>STANDARD NEW</v>
          </cell>
          <cell r="J531">
            <v>1997001826</v>
          </cell>
          <cell r="K531" t="str">
            <v>SURANTO</v>
          </cell>
          <cell r="L531" t="str">
            <v>SUR</v>
          </cell>
          <cell r="M531">
            <v>2012029489</v>
          </cell>
          <cell r="N531" t="str">
            <v>MUHAMAD SAEFUL</v>
          </cell>
          <cell r="O531" t="str">
            <v>MSE</v>
          </cell>
          <cell r="P531" t="str">
            <v>idmT2AA@jbr.indomaret.co.id</v>
          </cell>
          <cell r="Q531" t="str">
            <v>KAB. JEMBER</v>
          </cell>
          <cell r="R531" t="str">
            <v>SDN</v>
          </cell>
        </row>
        <row r="532">
          <cell r="D532" t="str">
            <v>TA87</v>
          </cell>
          <cell r="E532" t="str">
            <v/>
          </cell>
          <cell r="F532" t="str">
            <v>KH. SIDIQ</v>
          </cell>
          <cell r="G532" t="str">
            <v>R</v>
          </cell>
          <cell r="H532">
            <v>39538</v>
          </cell>
          <cell r="I532" t="str">
            <v xml:space="preserve">STANDARD </v>
          </cell>
          <cell r="J532">
            <v>1997001826</v>
          </cell>
          <cell r="K532" t="str">
            <v>SURANTO</v>
          </cell>
          <cell r="L532" t="str">
            <v>SUR</v>
          </cell>
          <cell r="M532">
            <v>2012029489</v>
          </cell>
          <cell r="N532" t="str">
            <v>MUHAMAD SAEFUL</v>
          </cell>
          <cell r="O532" t="str">
            <v>MSE</v>
          </cell>
          <cell r="P532" t="str">
            <v>idmTA87@jbr.indomaret.co.id</v>
          </cell>
          <cell r="Q532" t="str">
            <v>KAB. JEMBER</v>
          </cell>
          <cell r="R532" t="str">
            <v>SDS</v>
          </cell>
        </row>
        <row r="533">
          <cell r="D533" t="str">
            <v>TAL1</v>
          </cell>
          <cell r="E533" t="str">
            <v/>
          </cell>
          <cell r="F533" t="str">
            <v>JAYANEGARA - JEMBER</v>
          </cell>
          <cell r="G533" t="str">
            <v>R</v>
          </cell>
          <cell r="H533">
            <v>39987</v>
          </cell>
          <cell r="I533" t="str">
            <v xml:space="preserve">STANDARD </v>
          </cell>
          <cell r="J533">
            <v>1997001826</v>
          </cell>
          <cell r="K533" t="str">
            <v>SURANTO</v>
          </cell>
          <cell r="L533" t="str">
            <v>SUR</v>
          </cell>
          <cell r="M533">
            <v>2012029489</v>
          </cell>
          <cell r="N533" t="str">
            <v>MUHAMAD SAEFUL</v>
          </cell>
          <cell r="O533" t="str">
            <v>MSE</v>
          </cell>
          <cell r="P533" t="str">
            <v>idmTAL1@jbr.indomaret.co.id</v>
          </cell>
          <cell r="Q533" t="str">
            <v>KAB. JEMBER</v>
          </cell>
          <cell r="R533" t="str">
            <v>SDS</v>
          </cell>
        </row>
        <row r="534">
          <cell r="D534" t="str">
            <v>TIDR</v>
          </cell>
          <cell r="E534" t="str">
            <v/>
          </cell>
          <cell r="F534" t="str">
            <v>DIPONEGORO - JEMBER</v>
          </cell>
          <cell r="G534" t="str">
            <v>R</v>
          </cell>
          <cell r="H534">
            <v>41564</v>
          </cell>
          <cell r="I534" t="str">
            <v xml:space="preserve">STANDARD </v>
          </cell>
          <cell r="J534">
            <v>1997001826</v>
          </cell>
          <cell r="K534" t="str">
            <v>SURANTO</v>
          </cell>
          <cell r="L534" t="str">
            <v>SUR</v>
          </cell>
          <cell r="M534">
            <v>2012029489</v>
          </cell>
          <cell r="N534" t="str">
            <v>MUHAMAD SAEFUL</v>
          </cell>
          <cell r="O534" t="str">
            <v>MSE</v>
          </cell>
          <cell r="P534" t="str">
            <v>idmTIDR@jbr.indomaret.co.id</v>
          </cell>
          <cell r="Q534" t="str">
            <v>KAB. JEMBER</v>
          </cell>
          <cell r="R534" t="str">
            <v>SDS</v>
          </cell>
        </row>
        <row r="535">
          <cell r="D535" t="str">
            <v>TJLW</v>
          </cell>
          <cell r="E535" t="str">
            <v>FINR</v>
          </cell>
          <cell r="F535" t="str">
            <v>RAYA BEDADUNG - JEMBER</v>
          </cell>
          <cell r="G535" t="str">
            <v>R</v>
          </cell>
          <cell r="H535">
            <v>43862</v>
          </cell>
          <cell r="I535" t="str">
            <v xml:space="preserve">STANDARD </v>
          </cell>
          <cell r="J535">
            <v>1997001826</v>
          </cell>
          <cell r="K535" t="str">
            <v>SURANTO</v>
          </cell>
          <cell r="L535" t="str">
            <v>SUR</v>
          </cell>
          <cell r="M535">
            <v>2012029489</v>
          </cell>
          <cell r="N535" t="str">
            <v>MUHAMAD SAEFUL</v>
          </cell>
          <cell r="O535" t="str">
            <v>MSE</v>
          </cell>
          <cell r="P535" t="str">
            <v>idmTJLW@jbr.indomaret.co.id</v>
          </cell>
          <cell r="Q535" t="str">
            <v>KAB. JEMBER</v>
          </cell>
          <cell r="R535" t="str">
            <v>SDS</v>
          </cell>
        </row>
        <row r="536">
          <cell r="D536" t="str">
            <v>TLIW</v>
          </cell>
          <cell r="E536" t="str">
            <v/>
          </cell>
          <cell r="F536" t="str">
            <v>GAJAH MADA KALIWATES</v>
          </cell>
          <cell r="G536" t="str">
            <v>R</v>
          </cell>
          <cell r="H536">
            <v>42459</v>
          </cell>
          <cell r="I536" t="str">
            <v>STANDARD NEW</v>
          </cell>
          <cell r="J536">
            <v>1997001826</v>
          </cell>
          <cell r="K536" t="str">
            <v>SURANTO</v>
          </cell>
          <cell r="L536" t="str">
            <v>SUR</v>
          </cell>
          <cell r="M536">
            <v>2012029489</v>
          </cell>
          <cell r="N536" t="str">
            <v>MUHAMAD SAEFUL</v>
          </cell>
          <cell r="O536" t="str">
            <v>MSE</v>
          </cell>
          <cell r="P536" t="str">
            <v>idmTLIW@jbr.indomaret.co.id</v>
          </cell>
          <cell r="Q536" t="str">
            <v>KAB. JEMBER</v>
          </cell>
          <cell r="R536" t="str">
            <v>SDN</v>
          </cell>
        </row>
        <row r="537">
          <cell r="D537" t="str">
            <v>TLKG</v>
          </cell>
          <cell r="E537" t="str">
            <v/>
          </cell>
          <cell r="F537" t="str">
            <v>IMAM BONJOL JBR</v>
          </cell>
          <cell r="G537" t="str">
            <v>R</v>
          </cell>
          <cell r="H537">
            <v>42369</v>
          </cell>
          <cell r="I537" t="str">
            <v>STANDARD NEW</v>
          </cell>
          <cell r="J537">
            <v>1997001826</v>
          </cell>
          <cell r="K537" t="str">
            <v>SURANTO</v>
          </cell>
          <cell r="L537" t="str">
            <v>SUR</v>
          </cell>
          <cell r="M537">
            <v>2012029489</v>
          </cell>
          <cell r="N537" t="str">
            <v>MUHAMAD SAEFUL</v>
          </cell>
          <cell r="O537" t="str">
            <v>MSE</v>
          </cell>
          <cell r="P537" t="str">
            <v>idmTLKG@jbr.indomaret.co.id</v>
          </cell>
          <cell r="Q537" t="str">
            <v>KAB. JEMBER</v>
          </cell>
          <cell r="R537" t="str">
            <v>SDN</v>
          </cell>
        </row>
        <row r="538">
          <cell r="D538" t="str">
            <v>TWEO</v>
          </cell>
          <cell r="E538" t="str">
            <v/>
          </cell>
          <cell r="F538" t="str">
            <v>SENTOT PRAWIRODIRJO</v>
          </cell>
          <cell r="G538" t="str">
            <v>R</v>
          </cell>
          <cell r="H538">
            <v>42490</v>
          </cell>
          <cell r="I538" t="str">
            <v xml:space="preserve">STANDARD </v>
          </cell>
          <cell r="J538">
            <v>1997001826</v>
          </cell>
          <cell r="K538" t="str">
            <v>SURANTO</v>
          </cell>
          <cell r="L538" t="str">
            <v>SUR</v>
          </cell>
          <cell r="M538">
            <v>2012029489</v>
          </cell>
          <cell r="N538" t="str">
            <v>MUHAMAD SAEFUL</v>
          </cell>
          <cell r="O538" t="str">
            <v>MSE</v>
          </cell>
          <cell r="P538" t="str">
            <v>idmTWEO@jbr.indomaret.co.id</v>
          </cell>
          <cell r="Q538" t="str">
            <v>KAB. JEMBER</v>
          </cell>
          <cell r="R538" t="str">
            <v>SDS</v>
          </cell>
        </row>
        <row r="539">
          <cell r="D539" t="str">
            <v>TYAW</v>
          </cell>
          <cell r="E539" t="str">
            <v/>
          </cell>
          <cell r="F539" t="str">
            <v>AGUS SALIM 1 JBR</v>
          </cell>
          <cell r="G539" t="str">
            <v>R</v>
          </cell>
          <cell r="H539">
            <v>41758</v>
          </cell>
          <cell r="I539" t="str">
            <v>STANDARD NEW</v>
          </cell>
          <cell r="J539">
            <v>1997001826</v>
          </cell>
          <cell r="K539" t="str">
            <v>SURANTO</v>
          </cell>
          <cell r="L539" t="str">
            <v>SUR</v>
          </cell>
          <cell r="M539">
            <v>2012029489</v>
          </cell>
          <cell r="N539" t="str">
            <v>MUHAMAD SAEFUL</v>
          </cell>
          <cell r="O539" t="str">
            <v>MSE</v>
          </cell>
          <cell r="P539" t="str">
            <v>idmTYAW@jbr.indomaret.co.id</v>
          </cell>
          <cell r="Q539" t="str">
            <v>KAB. JEMBER</v>
          </cell>
          <cell r="R539" t="str">
            <v>SDN</v>
          </cell>
        </row>
        <row r="540">
          <cell r="D540" t="str">
            <v>TYFT</v>
          </cell>
          <cell r="E540" t="str">
            <v/>
          </cell>
          <cell r="F540" t="str">
            <v>TRUNOJOYO KALIWATES</v>
          </cell>
          <cell r="G540" t="str">
            <v>R</v>
          </cell>
          <cell r="H540">
            <v>42546</v>
          </cell>
          <cell r="I540" t="str">
            <v xml:space="preserve">STANDARD </v>
          </cell>
          <cell r="J540">
            <v>1997001826</v>
          </cell>
          <cell r="K540" t="str">
            <v>SURANTO</v>
          </cell>
          <cell r="L540" t="str">
            <v>SUR</v>
          </cell>
          <cell r="M540">
            <v>2012029489</v>
          </cell>
          <cell r="N540" t="str">
            <v>MUHAMAD SAEFUL</v>
          </cell>
          <cell r="O540" t="str">
            <v>MSE</v>
          </cell>
          <cell r="P540" t="str">
            <v>idmTYFT@jbr.indomaret.co.id</v>
          </cell>
          <cell r="Q540" t="str">
            <v>KAB. JEMBER</v>
          </cell>
          <cell r="R540" t="str">
            <v>SDS</v>
          </cell>
        </row>
        <row r="541">
          <cell r="D541" t="str">
            <v>TZF8</v>
          </cell>
          <cell r="E541" t="str">
            <v/>
          </cell>
          <cell r="F541" t="str">
            <v>SROEDJI</v>
          </cell>
          <cell r="G541" t="str">
            <v>R</v>
          </cell>
          <cell r="H541">
            <v>41170</v>
          </cell>
          <cell r="I541" t="str">
            <v xml:space="preserve">STANDARD </v>
          </cell>
          <cell r="J541">
            <v>1997001826</v>
          </cell>
          <cell r="K541" t="str">
            <v>SURANTO</v>
          </cell>
          <cell r="L541" t="str">
            <v>SUR</v>
          </cell>
          <cell r="M541">
            <v>2012029489</v>
          </cell>
          <cell r="N541" t="str">
            <v>MUHAMAD SAEFUL</v>
          </cell>
          <cell r="O541" t="str">
            <v>MSE</v>
          </cell>
          <cell r="P541" t="str">
            <v>idmTZF8@jbr.indomaret.co.id</v>
          </cell>
          <cell r="Q541" t="str">
            <v>KAB. JEMBER</v>
          </cell>
          <cell r="R541" t="str">
            <v>SDS</v>
          </cell>
        </row>
        <row r="542">
          <cell r="D542" t="str">
            <v>FEER</v>
          </cell>
          <cell r="E542" t="str">
            <v>TBTR</v>
          </cell>
          <cell r="F542" t="str">
            <v>RAYA PB.SUDIRMAN PBO</v>
          </cell>
          <cell r="G542" t="str">
            <v>F</v>
          </cell>
          <cell r="H542">
            <v>45444</v>
          </cell>
          <cell r="I542" t="str">
            <v xml:space="preserve">STANDARD </v>
          </cell>
          <cell r="J542">
            <v>2004009493</v>
          </cell>
          <cell r="K542" t="str">
            <v>SLAMET SUPRIYADI</v>
          </cell>
          <cell r="L542" t="str">
            <v>SYA</v>
          </cell>
          <cell r="M542">
            <v>2007001296</v>
          </cell>
          <cell r="N542" t="str">
            <v>ARIF NUGROHO</v>
          </cell>
          <cell r="O542" t="str">
            <v>AFO</v>
          </cell>
          <cell r="P542" t="str">
            <v>idFEER@jbr.indomaret.co.id</v>
          </cell>
          <cell r="Q542" t="str">
            <v>KOD. PROBOLINGGO</v>
          </cell>
          <cell r="R542" t="str">
            <v>SDS</v>
          </cell>
        </row>
        <row r="543">
          <cell r="D543" t="str">
            <v>FF44</v>
          </cell>
          <cell r="E543" t="str">
            <v>TA37</v>
          </cell>
          <cell r="F543" t="str">
            <v>DRINGU</v>
          </cell>
          <cell r="G543" t="str">
            <v>F</v>
          </cell>
          <cell r="H543">
            <v>45536</v>
          </cell>
          <cell r="I543" t="str">
            <v xml:space="preserve">STANDARD </v>
          </cell>
          <cell r="J543">
            <v>2004009493</v>
          </cell>
          <cell r="K543" t="str">
            <v>SLAMET SUPRIYADI</v>
          </cell>
          <cell r="L543" t="str">
            <v>SYA</v>
          </cell>
          <cell r="M543">
            <v>2007001296</v>
          </cell>
          <cell r="N543" t="str">
            <v>ARIF NUGROHO</v>
          </cell>
          <cell r="O543" t="str">
            <v>AFO</v>
          </cell>
          <cell r="P543" t="str">
            <v>idFF44@jbr.indomaret.co.id</v>
          </cell>
          <cell r="Q543" t="str">
            <v>KAB. PROBOLINGGO</v>
          </cell>
          <cell r="R543" t="str">
            <v>SDS</v>
          </cell>
        </row>
        <row r="544">
          <cell r="D544" t="str">
            <v>FHCF</v>
          </cell>
          <cell r="E544" t="str">
            <v/>
          </cell>
          <cell r="F544" t="str">
            <v>KAPUAS</v>
          </cell>
          <cell r="G544" t="str">
            <v>F</v>
          </cell>
          <cell r="H544">
            <v>45902</v>
          </cell>
          <cell r="I544" t="str">
            <v xml:space="preserve">STANDARD </v>
          </cell>
          <cell r="J544">
            <v>2004009493</v>
          </cell>
          <cell r="K544" t="str">
            <v>SLAMET SUPRIYADI</v>
          </cell>
          <cell r="L544" t="str">
            <v>SYA</v>
          </cell>
          <cell r="M544">
            <v>2007001296</v>
          </cell>
          <cell r="N544" t="str">
            <v>ARIF NUGROHO</v>
          </cell>
          <cell r="O544" t="str">
            <v>AFO</v>
          </cell>
          <cell r="P544" t="str">
            <v>idFHCF@jbr.indomaret.co.id</v>
          </cell>
          <cell r="Q544" t="str">
            <v>KOD. PROBOLINGGO</v>
          </cell>
          <cell r="R544" t="str">
            <v>SDS</v>
          </cell>
        </row>
        <row r="545">
          <cell r="D545" t="str">
            <v>FHPC</v>
          </cell>
          <cell r="E545" t="str">
            <v/>
          </cell>
          <cell r="F545" t="str">
            <v>YOS SUDARSO 31</v>
          </cell>
          <cell r="G545" t="str">
            <v>F</v>
          </cell>
          <cell r="H545">
            <v>45621</v>
          </cell>
          <cell r="I545" t="str">
            <v xml:space="preserve">STANDARD </v>
          </cell>
          <cell r="J545">
            <v>2004009493</v>
          </cell>
          <cell r="K545" t="str">
            <v>SLAMET SUPRIYADI</v>
          </cell>
          <cell r="L545" t="str">
            <v>SYA</v>
          </cell>
          <cell r="M545">
            <v>2007001296</v>
          </cell>
          <cell r="N545" t="str">
            <v>ARIF NUGROHO</v>
          </cell>
          <cell r="O545" t="str">
            <v>AFO</v>
          </cell>
          <cell r="P545" t="str">
            <v>idFHPC@jbr.indomaret.co.id</v>
          </cell>
          <cell r="Q545" t="str">
            <v>KAB. PROBOLINGGO</v>
          </cell>
          <cell r="R545" t="str">
            <v>SDS</v>
          </cell>
        </row>
        <row r="546">
          <cell r="D546" t="str">
            <v>FHTH</v>
          </cell>
          <cell r="E546" t="str">
            <v/>
          </cell>
          <cell r="F546" t="str">
            <v>DRINGU KALIREJO</v>
          </cell>
          <cell r="G546" t="str">
            <v>F</v>
          </cell>
          <cell r="H546">
            <v>45473</v>
          </cell>
          <cell r="I546" t="str">
            <v xml:space="preserve">STANDARD </v>
          </cell>
          <cell r="J546">
            <v>2004009493</v>
          </cell>
          <cell r="K546" t="str">
            <v>SLAMET SUPRIYADI</v>
          </cell>
          <cell r="L546" t="str">
            <v>SYA</v>
          </cell>
          <cell r="M546">
            <v>2007001296</v>
          </cell>
          <cell r="N546" t="str">
            <v>ARIF NUGROHO</v>
          </cell>
          <cell r="O546" t="str">
            <v>AFO</v>
          </cell>
          <cell r="P546" t="str">
            <v>idFHTH@jbr.indomaret.co.id</v>
          </cell>
          <cell r="Q546" t="str">
            <v>KAB. PROBOLINGGO</v>
          </cell>
          <cell r="R546" t="str">
            <v>SDS</v>
          </cell>
        </row>
        <row r="547">
          <cell r="D547" t="str">
            <v>TCMN</v>
          </cell>
          <cell r="E547" t="str">
            <v/>
          </cell>
          <cell r="F547" t="str">
            <v>SERMA ABDURAHMAN</v>
          </cell>
          <cell r="G547" t="str">
            <v>R</v>
          </cell>
          <cell r="H547">
            <v>42510</v>
          </cell>
          <cell r="I547" t="str">
            <v xml:space="preserve">STANDARD </v>
          </cell>
          <cell r="J547">
            <v>2004009493</v>
          </cell>
          <cell r="K547" t="str">
            <v>SLAMET SUPRIYADI</v>
          </cell>
          <cell r="L547" t="str">
            <v>SYA</v>
          </cell>
          <cell r="M547">
            <v>2007001296</v>
          </cell>
          <cell r="N547" t="str">
            <v>ARIF NUGROHO</v>
          </cell>
          <cell r="O547" t="str">
            <v>AFO</v>
          </cell>
          <cell r="P547" t="str">
            <v>idmTCMN@jbr.indomaret.co.id</v>
          </cell>
          <cell r="Q547" t="str">
            <v>KOD. PROBOLINGGO</v>
          </cell>
          <cell r="R547" t="str">
            <v>SDS</v>
          </cell>
        </row>
        <row r="548">
          <cell r="D548" t="str">
            <v>TICA</v>
          </cell>
          <cell r="E548" t="str">
            <v/>
          </cell>
          <cell r="F548" t="str">
            <v>PAHLAWAN - PBO</v>
          </cell>
          <cell r="G548" t="str">
            <v>R</v>
          </cell>
          <cell r="H548">
            <v>41206</v>
          </cell>
          <cell r="I548" t="str">
            <v xml:space="preserve">STANDARD </v>
          </cell>
          <cell r="J548">
            <v>2004009493</v>
          </cell>
          <cell r="K548" t="str">
            <v>SLAMET SUPRIYADI</v>
          </cell>
          <cell r="L548" t="str">
            <v>SYA</v>
          </cell>
          <cell r="M548">
            <v>2007001296</v>
          </cell>
          <cell r="N548" t="str">
            <v>ARIF NUGROHO</v>
          </cell>
          <cell r="O548" t="str">
            <v>AFO</v>
          </cell>
          <cell r="P548" t="str">
            <v>idmTICA@jbr.indomaret.co.id</v>
          </cell>
          <cell r="Q548" t="str">
            <v>KOD. PROBOLINGGO</v>
          </cell>
          <cell r="R548" t="str">
            <v>SDS</v>
          </cell>
        </row>
        <row r="549">
          <cell r="D549" t="str">
            <v>TIMO</v>
          </cell>
          <cell r="E549" t="str">
            <v/>
          </cell>
          <cell r="F549" t="str">
            <v>SUNAN AMPEL</v>
          </cell>
          <cell r="G549" t="str">
            <v>R</v>
          </cell>
          <cell r="H549">
            <v>42308</v>
          </cell>
          <cell r="I549" t="str">
            <v xml:space="preserve">STANDARD </v>
          </cell>
          <cell r="J549">
            <v>2004009493</v>
          </cell>
          <cell r="K549" t="str">
            <v>SLAMET SUPRIYADI</v>
          </cell>
          <cell r="L549" t="str">
            <v>SYA</v>
          </cell>
          <cell r="M549">
            <v>2007001296</v>
          </cell>
          <cell r="N549" t="str">
            <v>ARIF NUGROHO</v>
          </cell>
          <cell r="O549" t="str">
            <v>AFO</v>
          </cell>
          <cell r="P549" t="str">
            <v>idmTIMO@jbr.indomaret.co.id</v>
          </cell>
          <cell r="Q549" t="str">
            <v>KOD. PROBOLINGGO</v>
          </cell>
          <cell r="R549" t="str">
            <v>SDS</v>
          </cell>
        </row>
        <row r="550">
          <cell r="D550" t="str">
            <v>TONJ</v>
          </cell>
          <cell r="E550" t="str">
            <v/>
          </cell>
          <cell r="F550" t="str">
            <v>GLADAK SERANG</v>
          </cell>
          <cell r="G550" t="str">
            <v>R</v>
          </cell>
          <cell r="H550">
            <v>42674</v>
          </cell>
          <cell r="I550" t="str">
            <v xml:space="preserve">STANDARD </v>
          </cell>
          <cell r="J550">
            <v>2004009493</v>
          </cell>
          <cell r="K550" t="str">
            <v>SLAMET SUPRIYADI</v>
          </cell>
          <cell r="L550" t="str">
            <v>SYA</v>
          </cell>
          <cell r="M550">
            <v>2007001296</v>
          </cell>
          <cell r="N550" t="str">
            <v>ARIF NUGROHO</v>
          </cell>
          <cell r="O550" t="str">
            <v>AFO</v>
          </cell>
          <cell r="P550" t="str">
            <v>idmTONJ@jbr.indomaret.co.id</v>
          </cell>
          <cell r="Q550" t="str">
            <v>KOD. PROBOLINGGO</v>
          </cell>
          <cell r="R550" t="str">
            <v>SDS</v>
          </cell>
        </row>
        <row r="551">
          <cell r="D551" t="str">
            <v>TPUV</v>
          </cell>
          <cell r="E551" t="str">
            <v/>
          </cell>
          <cell r="F551" t="str">
            <v>BASUKI RAHMAD - PBO</v>
          </cell>
          <cell r="G551" t="str">
            <v>R</v>
          </cell>
          <cell r="H551">
            <v>42063</v>
          </cell>
          <cell r="I551" t="str">
            <v xml:space="preserve">STANDARD </v>
          </cell>
          <cell r="J551">
            <v>2004009493</v>
          </cell>
          <cell r="K551" t="str">
            <v>SLAMET SUPRIYADI</v>
          </cell>
          <cell r="L551" t="str">
            <v>SYA</v>
          </cell>
          <cell r="M551">
            <v>2007001296</v>
          </cell>
          <cell r="N551" t="str">
            <v>ARIF NUGROHO</v>
          </cell>
          <cell r="O551" t="str">
            <v>AFO</v>
          </cell>
          <cell r="P551" t="str">
            <v>idmTPUV@jbr.indomaret.co.id</v>
          </cell>
          <cell r="Q551" t="str">
            <v>KOD. PROBOLINGGO</v>
          </cell>
          <cell r="R551" t="str">
            <v>SDS</v>
          </cell>
        </row>
        <row r="552">
          <cell r="D552" t="str">
            <v>TQQJ</v>
          </cell>
          <cell r="E552" t="str">
            <v/>
          </cell>
          <cell r="F552" t="str">
            <v>DRINGU KALISALAM</v>
          </cell>
          <cell r="G552" t="str">
            <v>R</v>
          </cell>
          <cell r="H552">
            <v>42794</v>
          </cell>
          <cell r="I552" t="str">
            <v>STANDARD NEW</v>
          </cell>
          <cell r="J552">
            <v>2004009493</v>
          </cell>
          <cell r="K552" t="str">
            <v>SLAMET SUPRIYADI</v>
          </cell>
          <cell r="L552" t="str">
            <v>SYA</v>
          </cell>
          <cell r="M552">
            <v>2007001296</v>
          </cell>
          <cell r="N552" t="str">
            <v>ARIF NUGROHO</v>
          </cell>
          <cell r="O552" t="str">
            <v>AFO</v>
          </cell>
          <cell r="P552" t="str">
            <v>idmTQQJ@jbr.indomaret.co.id</v>
          </cell>
          <cell r="Q552" t="str">
            <v>KAB. PROBOLINGGO</v>
          </cell>
          <cell r="R552" t="str">
            <v>SDN</v>
          </cell>
        </row>
        <row r="553">
          <cell r="D553" t="str">
            <v>TWCX</v>
          </cell>
          <cell r="E553" t="str">
            <v>FLFL</v>
          </cell>
          <cell r="F553" t="str">
            <v>GATOT SUBROTO - PROBOLINGGO</v>
          </cell>
          <cell r="G553" t="str">
            <v>R</v>
          </cell>
          <cell r="H553">
            <v>43586</v>
          </cell>
          <cell r="I553" t="str">
            <v xml:space="preserve">STANDARD </v>
          </cell>
          <cell r="J553">
            <v>2004009493</v>
          </cell>
          <cell r="K553" t="str">
            <v>SLAMET SUPRIYADI</v>
          </cell>
          <cell r="L553" t="str">
            <v>SYA</v>
          </cell>
          <cell r="M553">
            <v>2007001296</v>
          </cell>
          <cell r="N553" t="str">
            <v>ARIF NUGROHO</v>
          </cell>
          <cell r="O553" t="str">
            <v>AFO</v>
          </cell>
          <cell r="P553" t="str">
            <v>idmTWCX@jbr.indomaret.co.id</v>
          </cell>
          <cell r="Q553" t="str">
            <v>KOD. PROBOLINGGO</v>
          </cell>
          <cell r="R553" t="str">
            <v>SDS</v>
          </cell>
        </row>
        <row r="554">
          <cell r="D554" t="str">
            <v>T677</v>
          </cell>
          <cell r="E554" t="str">
            <v/>
          </cell>
          <cell r="F554" t="str">
            <v>SUWANDAK</v>
          </cell>
          <cell r="G554" t="str">
            <v>R</v>
          </cell>
          <cell r="H554">
            <v>38442</v>
          </cell>
          <cell r="I554" t="str">
            <v>STANDARD NEW</v>
          </cell>
          <cell r="J554">
            <v>2004009493</v>
          </cell>
          <cell r="K554" t="str">
            <v>SLAMET SUPRIYADI</v>
          </cell>
          <cell r="L554" t="str">
            <v>SYA</v>
          </cell>
          <cell r="M554">
            <v>2015011269</v>
          </cell>
          <cell r="N554" t="str">
            <v>BAYU DWI PRASETYO</v>
          </cell>
          <cell r="O554" t="str">
            <v>BYO</v>
          </cell>
          <cell r="P554" t="str">
            <v>idmT677@jbr.indomaret.co.id</v>
          </cell>
          <cell r="Q554" t="str">
            <v>KAB. LUMAJANG</v>
          </cell>
          <cell r="R554" t="str">
            <v>SDN</v>
          </cell>
        </row>
        <row r="555">
          <cell r="D555" t="str">
            <v>TAEC</v>
          </cell>
          <cell r="E555" t="str">
            <v/>
          </cell>
          <cell r="F555" t="str">
            <v>FRESH KENCONG JEMBER</v>
          </cell>
          <cell r="G555" t="str">
            <v>R</v>
          </cell>
          <cell r="H555">
            <v>41517</v>
          </cell>
          <cell r="I555" t="str">
            <v>MATRIX FRESH</v>
          </cell>
          <cell r="J555">
            <v>2004009493</v>
          </cell>
          <cell r="K555" t="str">
            <v>SLAMET SUPRIYADI</v>
          </cell>
          <cell r="L555" t="str">
            <v>SYA</v>
          </cell>
          <cell r="M555">
            <v>2015011269</v>
          </cell>
          <cell r="N555" t="str">
            <v>BAYU DWI PRASETYO</v>
          </cell>
          <cell r="O555" t="str">
            <v>BYO</v>
          </cell>
          <cell r="P555" t="str">
            <v>idmTAEC@jbr.indomaret.co.id</v>
          </cell>
          <cell r="Q555" t="str">
            <v>KAB. JEMBER</v>
          </cell>
          <cell r="R555" t="str">
            <v>MFF</v>
          </cell>
        </row>
        <row r="556">
          <cell r="D556" t="str">
            <v>TENU</v>
          </cell>
          <cell r="E556" t="str">
            <v/>
          </cell>
          <cell r="F556" t="str">
            <v>FRESH MASTRIP-PBO</v>
          </cell>
          <cell r="G556" t="str">
            <v>R</v>
          </cell>
          <cell r="H556">
            <v>42118</v>
          </cell>
          <cell r="I556" t="str">
            <v>MATRIX FRESH</v>
          </cell>
          <cell r="J556">
            <v>2004009493</v>
          </cell>
          <cell r="K556" t="str">
            <v>SLAMET SUPRIYADI</v>
          </cell>
          <cell r="L556" t="str">
            <v>SYA</v>
          </cell>
          <cell r="M556">
            <v>2015011269</v>
          </cell>
          <cell r="N556" t="str">
            <v>BAYU DWI PRASETYO</v>
          </cell>
          <cell r="O556" t="str">
            <v>BYO</v>
          </cell>
          <cell r="P556" t="str">
            <v>idmTENU@jbr.indomaret.co.id</v>
          </cell>
          <cell r="Q556" t="str">
            <v>KOD. PROBOLINGGO</v>
          </cell>
          <cell r="R556" t="str">
            <v>MFF</v>
          </cell>
        </row>
        <row r="557">
          <cell r="D557" t="str">
            <v>TF30</v>
          </cell>
          <cell r="E557" t="str">
            <v/>
          </cell>
          <cell r="F557" t="str">
            <v>SLAMET RIYADI</v>
          </cell>
          <cell r="G557" t="str">
            <v>R</v>
          </cell>
          <cell r="H557">
            <v>38650</v>
          </cell>
          <cell r="I557" t="str">
            <v>STANDARD NEW</v>
          </cell>
          <cell r="J557">
            <v>2004009493</v>
          </cell>
          <cell r="K557" t="str">
            <v>SLAMET SUPRIYADI</v>
          </cell>
          <cell r="L557" t="str">
            <v>SYA</v>
          </cell>
          <cell r="M557">
            <v>2015011269</v>
          </cell>
          <cell r="N557" t="str">
            <v>BAYU DWI PRASETYO</v>
          </cell>
          <cell r="O557" t="str">
            <v>BYO</v>
          </cell>
          <cell r="P557" t="str">
            <v>idmTF30@jbr.indomaret.co.id</v>
          </cell>
          <cell r="Q557" t="str">
            <v>KAB. LUMAJANG</v>
          </cell>
          <cell r="R557" t="str">
            <v>SDN</v>
          </cell>
        </row>
        <row r="558">
          <cell r="D558" t="str">
            <v>TJJZ</v>
          </cell>
          <cell r="E558" t="str">
            <v/>
          </cell>
          <cell r="F558" t="str">
            <v>KEDOPOK</v>
          </cell>
          <cell r="G558" t="str">
            <v>R</v>
          </cell>
          <cell r="H558">
            <v>43151</v>
          </cell>
          <cell r="I558" t="str">
            <v>STANDARD NEW</v>
          </cell>
          <cell r="J558">
            <v>2004009493</v>
          </cell>
          <cell r="K558" t="str">
            <v>SLAMET SUPRIYADI</v>
          </cell>
          <cell r="L558" t="str">
            <v>SYA</v>
          </cell>
          <cell r="M558">
            <v>2015011269</v>
          </cell>
          <cell r="N558" t="str">
            <v>BAYU DWI PRASETYO</v>
          </cell>
          <cell r="O558" t="str">
            <v>BYO</v>
          </cell>
          <cell r="P558" t="str">
            <v>idmTJJZ@jbr.indomaret.co.id</v>
          </cell>
          <cell r="Q558" t="str">
            <v>KOD. PROBOLINGGO</v>
          </cell>
          <cell r="R558" t="str">
            <v>SDN</v>
          </cell>
        </row>
        <row r="559">
          <cell r="D559" t="str">
            <v>TLA1</v>
          </cell>
          <cell r="E559" t="str">
            <v/>
          </cell>
          <cell r="F559" t="str">
            <v>FRESH PASIRIAN 2 - LUMAJANG</v>
          </cell>
          <cell r="G559" t="str">
            <v>R</v>
          </cell>
          <cell r="H559">
            <v>39930</v>
          </cell>
          <cell r="I559" t="str">
            <v>MATRIX FRESH</v>
          </cell>
          <cell r="J559">
            <v>2004009493</v>
          </cell>
          <cell r="K559" t="str">
            <v>SLAMET SUPRIYADI</v>
          </cell>
          <cell r="L559" t="str">
            <v>SYA</v>
          </cell>
          <cell r="M559">
            <v>2015011269</v>
          </cell>
          <cell r="N559" t="str">
            <v>BAYU DWI PRASETYO</v>
          </cell>
          <cell r="O559" t="str">
            <v>BYO</v>
          </cell>
          <cell r="P559" t="str">
            <v>idmTLA1@jbr.indomaret.co.id</v>
          </cell>
          <cell r="Q559" t="str">
            <v>KAB. LUMAJANG</v>
          </cell>
          <cell r="R559" t="str">
            <v>MFF</v>
          </cell>
        </row>
        <row r="560">
          <cell r="D560" t="str">
            <v>FRNC</v>
          </cell>
          <cell r="E560" t="str">
            <v>TQ48</v>
          </cell>
          <cell r="F560" t="str">
            <v>DR. SUTOMO - PROBOLINGGO</v>
          </cell>
          <cell r="G560" t="str">
            <v>F</v>
          </cell>
          <cell r="H560">
            <v>44958</v>
          </cell>
          <cell r="I560" t="str">
            <v xml:space="preserve">STANDARD </v>
          </cell>
          <cell r="J560">
            <v>2004009493</v>
          </cell>
          <cell r="K560" t="str">
            <v>SLAMET SUPRIYADI</v>
          </cell>
          <cell r="L560" t="str">
            <v>SYA</v>
          </cell>
          <cell r="M560">
            <v>2015692605</v>
          </cell>
          <cell r="N560" t="str">
            <v>CLEMENTINO RADITYA</v>
          </cell>
          <cell r="O560" t="str">
            <v>CRT</v>
          </cell>
          <cell r="P560" t="str">
            <v>idFRNC@jbr.indomaret.co.id</v>
          </cell>
          <cell r="Q560" t="str">
            <v>KAB. PROBOLINGGO</v>
          </cell>
          <cell r="R560" t="str">
            <v>SDS</v>
          </cell>
        </row>
        <row r="561">
          <cell r="D561" t="str">
            <v>THES</v>
          </cell>
          <cell r="E561"/>
          <cell r="F561" t="str">
            <v>RAYA KRAKSAAN BESUK</v>
          </cell>
          <cell r="G561" t="str">
            <v>R</v>
          </cell>
          <cell r="H561">
            <v>46021</v>
          </cell>
          <cell r="I561" t="str">
            <v xml:space="preserve">STANDARD </v>
          </cell>
          <cell r="J561">
            <v>2004009493</v>
          </cell>
          <cell r="K561" t="str">
            <v>SLAMET SUPRIYADI</v>
          </cell>
          <cell r="L561" t="str">
            <v>SYA</v>
          </cell>
          <cell r="M561">
            <v>2015692605</v>
          </cell>
          <cell r="N561" t="str">
            <v>CLEMENTINO RADITYA</v>
          </cell>
          <cell r="O561" t="str">
            <v>CRT</v>
          </cell>
          <cell r="P561" t="str">
            <v>idmTHES@jbr.indomaret.co.id</v>
          </cell>
          <cell r="Q561" t="str">
            <v>KAB. PROBOLINGGO</v>
          </cell>
          <cell r="R561" t="str">
            <v>SDS</v>
          </cell>
        </row>
        <row r="562">
          <cell r="D562" t="str">
            <v>TIFN</v>
          </cell>
          <cell r="E562" t="str">
            <v>FR88</v>
          </cell>
          <cell r="F562" t="str">
            <v>KRAKSAAN II</v>
          </cell>
          <cell r="G562" t="str">
            <v>R</v>
          </cell>
          <cell r="H562">
            <v>42186</v>
          </cell>
          <cell r="I562" t="str">
            <v>STANDARD NEW</v>
          </cell>
          <cell r="J562">
            <v>2004009493</v>
          </cell>
          <cell r="K562" t="str">
            <v>SLAMET SUPRIYADI</v>
          </cell>
          <cell r="L562" t="str">
            <v>SYA</v>
          </cell>
          <cell r="M562">
            <v>2015692605</v>
          </cell>
          <cell r="N562" t="str">
            <v>CLEMENTINO RADITYA</v>
          </cell>
          <cell r="O562" t="str">
            <v>CRT</v>
          </cell>
          <cell r="P562" t="str">
            <v>idmTIFN@jbr.indomaret.co.id</v>
          </cell>
          <cell r="Q562" t="str">
            <v>KAB. PROBOLINGGO</v>
          </cell>
          <cell r="R562" t="str">
            <v>SDN</v>
          </cell>
        </row>
        <row r="563">
          <cell r="D563" t="str">
            <v>TJWA</v>
          </cell>
          <cell r="E563" t="str">
            <v>FNAL</v>
          </cell>
          <cell r="F563" t="str">
            <v>KRAKSAAN PRB</v>
          </cell>
          <cell r="G563" t="str">
            <v>R</v>
          </cell>
          <cell r="H563">
            <v>43282</v>
          </cell>
          <cell r="I563" t="str">
            <v xml:space="preserve">STANDARD </v>
          </cell>
          <cell r="J563">
            <v>2004009493</v>
          </cell>
          <cell r="K563" t="str">
            <v>SLAMET SUPRIYADI</v>
          </cell>
          <cell r="L563" t="str">
            <v>SYA</v>
          </cell>
          <cell r="M563">
            <v>2015692605</v>
          </cell>
          <cell r="N563" t="str">
            <v>CLEMENTINO RADITYA</v>
          </cell>
          <cell r="O563" t="str">
            <v>CRT</v>
          </cell>
          <cell r="P563" t="str">
            <v>idmTJWA@jbr.indomaret.co.id</v>
          </cell>
          <cell r="Q563" t="str">
            <v>KAB. PROBOLINGGO</v>
          </cell>
          <cell r="R563" t="str">
            <v>SDS</v>
          </cell>
        </row>
        <row r="564">
          <cell r="D564" t="str">
            <v>TQ43</v>
          </cell>
          <cell r="E564" t="str">
            <v/>
          </cell>
          <cell r="F564" t="str">
            <v>YOS SUDARSO  PBO</v>
          </cell>
          <cell r="G564" t="str">
            <v>R</v>
          </cell>
          <cell r="H564">
            <v>42368</v>
          </cell>
          <cell r="I564" t="str">
            <v xml:space="preserve">STANDARD </v>
          </cell>
          <cell r="J564">
            <v>2004009493</v>
          </cell>
          <cell r="K564" t="str">
            <v>SLAMET SUPRIYADI</v>
          </cell>
          <cell r="L564" t="str">
            <v>SYA</v>
          </cell>
          <cell r="M564">
            <v>2015692605</v>
          </cell>
          <cell r="N564" t="str">
            <v>CLEMENTINO RADITYA</v>
          </cell>
          <cell r="O564" t="str">
            <v>CRT</v>
          </cell>
          <cell r="P564" t="str">
            <v>idmTQ43@jbr.indomaret.co.id</v>
          </cell>
          <cell r="Q564" t="str">
            <v>KAB. PROBOLINGGO</v>
          </cell>
          <cell r="R564" t="str">
            <v>SDS</v>
          </cell>
        </row>
        <row r="565">
          <cell r="D565" t="str">
            <v>TA28</v>
          </cell>
          <cell r="E565" t="str">
            <v/>
          </cell>
          <cell r="F565" t="str">
            <v>FRESH PAITON</v>
          </cell>
          <cell r="G565" t="str">
            <v>R</v>
          </cell>
          <cell r="H565">
            <v>39078</v>
          </cell>
          <cell r="I565" t="str">
            <v>MATRIX FRESH</v>
          </cell>
          <cell r="J565">
            <v>2004009493</v>
          </cell>
          <cell r="K565" t="str">
            <v>SLAMET SUPRIYADI</v>
          </cell>
          <cell r="L565" t="str">
            <v>SYA</v>
          </cell>
          <cell r="M565">
            <v>2011003599</v>
          </cell>
          <cell r="N565" t="str">
            <v>HASBULLAH</v>
          </cell>
          <cell r="O565" t="str">
            <v>HSB</v>
          </cell>
          <cell r="P565" t="str">
            <v>idmTA28@jbr.indomaret.co.id</v>
          </cell>
          <cell r="Q565" t="str">
            <v>KAB. PROBOLINGGO</v>
          </cell>
          <cell r="R565" t="str">
            <v>MFF</v>
          </cell>
        </row>
        <row r="566">
          <cell r="D566" t="str">
            <v>TDOS</v>
          </cell>
          <cell r="E566" t="str">
            <v>F34F</v>
          </cell>
          <cell r="F566" t="str">
            <v>FRESH MANGUNHARJO-PROBOLINGO</v>
          </cell>
          <cell r="G566" t="str">
            <v>R</v>
          </cell>
          <cell r="H566">
            <v>41944</v>
          </cell>
          <cell r="I566" t="str">
            <v>MATRIX FRESH</v>
          </cell>
          <cell r="J566">
            <v>2004009493</v>
          </cell>
          <cell r="K566" t="str">
            <v>SLAMET SUPRIYADI</v>
          </cell>
          <cell r="L566" t="str">
            <v>SYA</v>
          </cell>
          <cell r="M566">
            <v>2011003599</v>
          </cell>
          <cell r="N566" t="str">
            <v>HASBULLAH</v>
          </cell>
          <cell r="O566" t="str">
            <v>HSB</v>
          </cell>
          <cell r="P566" t="str">
            <v>idmTDOS@jbr.indomaret.co.id</v>
          </cell>
          <cell r="Q566" t="str">
            <v>KOD. PROBOLINGGO</v>
          </cell>
          <cell r="R566" t="str">
            <v>MFF</v>
          </cell>
        </row>
        <row r="567">
          <cell r="D567" t="str">
            <v>TEOD</v>
          </cell>
          <cell r="E567" t="str">
            <v/>
          </cell>
          <cell r="F567" t="str">
            <v>PAJURANGAN</v>
          </cell>
          <cell r="G567" t="str">
            <v>R</v>
          </cell>
          <cell r="H567">
            <v>43039</v>
          </cell>
          <cell r="I567" t="str">
            <v>STANDARD NEW</v>
          </cell>
          <cell r="J567">
            <v>2004009493</v>
          </cell>
          <cell r="K567" t="str">
            <v>SLAMET SUPRIYADI</v>
          </cell>
          <cell r="L567" t="str">
            <v>SYA</v>
          </cell>
          <cell r="M567">
            <v>2011003599</v>
          </cell>
          <cell r="N567" t="str">
            <v>HASBULLAH</v>
          </cell>
          <cell r="O567" t="str">
            <v>HSB</v>
          </cell>
          <cell r="P567" t="str">
            <v>idmTEOD@jbr.indomaret.co.id</v>
          </cell>
          <cell r="Q567" t="str">
            <v>KAB. PROBOLINGGO</v>
          </cell>
          <cell r="R567" t="str">
            <v>SDN</v>
          </cell>
        </row>
        <row r="568">
          <cell r="D568" t="str">
            <v>TF85</v>
          </cell>
          <cell r="E568" t="str">
            <v/>
          </cell>
          <cell r="F568" t="str">
            <v>FRESH PROBOLINGGO  3</v>
          </cell>
          <cell r="G568" t="str">
            <v>R</v>
          </cell>
          <cell r="H568">
            <v>38923</v>
          </cell>
          <cell r="I568" t="str">
            <v>MATRIX FRESH</v>
          </cell>
          <cell r="J568">
            <v>2004009493</v>
          </cell>
          <cell r="K568" t="str">
            <v>SLAMET SUPRIYADI</v>
          </cell>
          <cell r="L568" t="str">
            <v>SYA</v>
          </cell>
          <cell r="M568">
            <v>2011003599</v>
          </cell>
          <cell r="N568" t="str">
            <v>HASBULLAH</v>
          </cell>
          <cell r="O568" t="str">
            <v>HSB</v>
          </cell>
          <cell r="P568" t="str">
            <v>idmTF85@jbr.indomaret.co.id</v>
          </cell>
          <cell r="Q568" t="str">
            <v>KOD. PROBOLINGGO</v>
          </cell>
          <cell r="R568" t="str">
            <v>MFF</v>
          </cell>
        </row>
        <row r="569">
          <cell r="D569" t="str">
            <v>TPEV</v>
          </cell>
          <cell r="E569" t="str">
            <v/>
          </cell>
          <cell r="F569" t="str">
            <v>RANDUPITU 6</v>
          </cell>
          <cell r="G569" t="str">
            <v>R</v>
          </cell>
          <cell r="H569">
            <v>43469</v>
          </cell>
          <cell r="I569" t="str">
            <v>STANDARD NEW</v>
          </cell>
          <cell r="J569">
            <v>2004009493</v>
          </cell>
          <cell r="K569" t="str">
            <v>SLAMET SUPRIYADI</v>
          </cell>
          <cell r="L569" t="str">
            <v>SYA</v>
          </cell>
          <cell r="M569">
            <v>2011003599</v>
          </cell>
          <cell r="N569" t="str">
            <v>HASBULLAH</v>
          </cell>
          <cell r="O569" t="str">
            <v>HSB</v>
          </cell>
          <cell r="P569" t="str">
            <v>idmTPEV@jbr.indomaret.co.id</v>
          </cell>
          <cell r="Q569" t="str">
            <v>KAB. PROBOLINGGO</v>
          </cell>
          <cell r="R569" t="str">
            <v>SDN</v>
          </cell>
        </row>
        <row r="570">
          <cell r="D570" t="str">
            <v>TTRS</v>
          </cell>
          <cell r="E570" t="str">
            <v/>
          </cell>
          <cell r="F570" t="str">
            <v>SUKAPURA 159</v>
          </cell>
          <cell r="G570" t="str">
            <v>R</v>
          </cell>
          <cell r="H570">
            <v>43736</v>
          </cell>
          <cell r="I570" t="str">
            <v>STANDARD NEW</v>
          </cell>
          <cell r="J570">
            <v>2004009493</v>
          </cell>
          <cell r="K570" t="str">
            <v>SLAMET SUPRIYADI</v>
          </cell>
          <cell r="L570" t="str">
            <v>SYA</v>
          </cell>
          <cell r="M570">
            <v>2011003599</v>
          </cell>
          <cell r="N570" t="str">
            <v>HASBULLAH</v>
          </cell>
          <cell r="O570" t="str">
            <v>HSB</v>
          </cell>
          <cell r="P570" t="str">
            <v>idmTTRS@jbr.indomaret.co.id</v>
          </cell>
          <cell r="Q570" t="str">
            <v>KAB. PROBOLINGGO</v>
          </cell>
          <cell r="R570" t="str">
            <v>SDN</v>
          </cell>
        </row>
        <row r="571">
          <cell r="D571" t="str">
            <v>F7J5</v>
          </cell>
          <cell r="E571" t="str">
            <v>TQ46</v>
          </cell>
          <cell r="F571" t="str">
            <v>KARANGBONG-PRB</v>
          </cell>
          <cell r="G571" t="str">
            <v>F</v>
          </cell>
          <cell r="H571">
            <v>44743</v>
          </cell>
          <cell r="I571" t="str">
            <v xml:space="preserve">STANDARD </v>
          </cell>
          <cell r="J571">
            <v>2004009493</v>
          </cell>
          <cell r="K571" t="str">
            <v>SLAMET SUPRIYADI</v>
          </cell>
          <cell r="L571" t="str">
            <v>SYA</v>
          </cell>
          <cell r="M571">
            <v>2009046163</v>
          </cell>
          <cell r="N571" t="str">
            <v>SUL HADIYANTO</v>
          </cell>
          <cell r="O571" t="str">
            <v>SUL</v>
          </cell>
          <cell r="P571" t="str">
            <v>idF7J5@jbr.indomaret.co.id</v>
          </cell>
          <cell r="Q571" t="str">
            <v>KAB. PROBOLINGGO</v>
          </cell>
          <cell r="R571" t="str">
            <v>SDS</v>
          </cell>
        </row>
        <row r="572">
          <cell r="D572" t="str">
            <v>FAYA</v>
          </cell>
          <cell r="E572" t="str">
            <v>T04A</v>
          </cell>
          <cell r="F572" t="str">
            <v>SEMAMPIR</v>
          </cell>
          <cell r="G572" t="str">
            <v>F</v>
          </cell>
          <cell r="H572">
            <v>44866</v>
          </cell>
          <cell r="I572" t="str">
            <v xml:space="preserve">STANDARD </v>
          </cell>
          <cell r="J572">
            <v>2004009493</v>
          </cell>
          <cell r="K572" t="str">
            <v>SLAMET SUPRIYADI</v>
          </cell>
          <cell r="L572" t="str">
            <v>SYA</v>
          </cell>
          <cell r="M572">
            <v>2009046163</v>
          </cell>
          <cell r="N572" t="str">
            <v>SUL HADIYANTO</v>
          </cell>
          <cell r="O572" t="str">
            <v>SUL</v>
          </cell>
          <cell r="P572" t="str">
            <v>idFAYA@jbr.indomaret.co.id</v>
          </cell>
          <cell r="Q572" t="str">
            <v>KAB. PROBOLINGGO</v>
          </cell>
          <cell r="R572" t="str">
            <v>SDS</v>
          </cell>
        </row>
        <row r="573">
          <cell r="D573" t="str">
            <v>FNTB</v>
          </cell>
          <cell r="E573" t="str">
            <v/>
          </cell>
          <cell r="F573" t="str">
            <v>IR. H. JUANDA</v>
          </cell>
          <cell r="G573" t="str">
            <v>F</v>
          </cell>
          <cell r="H573">
            <v>45626</v>
          </cell>
          <cell r="I573" t="str">
            <v xml:space="preserve">STANDARD </v>
          </cell>
          <cell r="J573">
            <v>2004009493</v>
          </cell>
          <cell r="K573" t="str">
            <v>SLAMET SUPRIYADI</v>
          </cell>
          <cell r="L573" t="str">
            <v>SYA</v>
          </cell>
          <cell r="M573">
            <v>2009046163</v>
          </cell>
          <cell r="N573" t="str">
            <v>SUL HADIYANTO</v>
          </cell>
          <cell r="O573" t="str">
            <v>SUL</v>
          </cell>
          <cell r="P573" t="str">
            <v>idFNTB@jbr.indomaret.co.id</v>
          </cell>
          <cell r="Q573" t="str">
            <v>KAB. PROBOLINGGO</v>
          </cell>
          <cell r="R573" t="str">
            <v>SDS</v>
          </cell>
        </row>
        <row r="574">
          <cell r="D574" t="str">
            <v>FPEE</v>
          </cell>
          <cell r="E574" t="str">
            <v/>
          </cell>
          <cell r="F574" t="str">
            <v>DIPONEGORO</v>
          </cell>
          <cell r="G574" t="str">
            <v>F</v>
          </cell>
          <cell r="H574">
            <v>44851</v>
          </cell>
          <cell r="I574" t="str">
            <v xml:space="preserve">STANDARD </v>
          </cell>
          <cell r="J574">
            <v>2004009493</v>
          </cell>
          <cell r="K574" t="str">
            <v>SLAMET SUPRIYADI</v>
          </cell>
          <cell r="L574" t="str">
            <v>SYA</v>
          </cell>
          <cell r="M574">
            <v>2009046163</v>
          </cell>
          <cell r="N574" t="str">
            <v>SUL HADIYANTO</v>
          </cell>
          <cell r="O574" t="str">
            <v>SUL</v>
          </cell>
          <cell r="P574" t="str">
            <v>idFPEE@jbr.indomaret.co.id</v>
          </cell>
          <cell r="Q574" t="str">
            <v>KAB. PROBOLINGGO</v>
          </cell>
          <cell r="R574" t="str">
            <v>SDS</v>
          </cell>
        </row>
        <row r="575">
          <cell r="D575" t="str">
            <v>FPM0</v>
          </cell>
          <cell r="E575" t="str">
            <v/>
          </cell>
          <cell r="F575" t="str">
            <v>SPBU SEMAMPIR</v>
          </cell>
          <cell r="G575" t="str">
            <v>F</v>
          </cell>
          <cell r="H575">
            <v>44327</v>
          </cell>
          <cell r="I575" t="str">
            <v xml:space="preserve">STANDARD </v>
          </cell>
          <cell r="J575">
            <v>2004009493</v>
          </cell>
          <cell r="K575" t="str">
            <v>SLAMET SUPRIYADI</v>
          </cell>
          <cell r="L575" t="str">
            <v>SYA</v>
          </cell>
          <cell r="M575">
            <v>2009046163</v>
          </cell>
          <cell r="N575" t="str">
            <v>SUL HADIYANTO</v>
          </cell>
          <cell r="O575" t="str">
            <v>SUL</v>
          </cell>
          <cell r="P575" t="str">
            <v>idFPM0@jbr.indomaret.co.id</v>
          </cell>
          <cell r="Q575" t="str">
            <v>KAB. PROBOLINGGO</v>
          </cell>
          <cell r="R575" t="str">
            <v>SDS</v>
          </cell>
        </row>
        <row r="576">
          <cell r="D576" t="str">
            <v>T7P0</v>
          </cell>
          <cell r="E576" t="str">
            <v/>
          </cell>
          <cell r="F576" t="str">
            <v>PB SUDIRMAN PAJARAKAN</v>
          </cell>
          <cell r="G576" t="str">
            <v>R</v>
          </cell>
          <cell r="H576">
            <v>44619</v>
          </cell>
          <cell r="I576" t="str">
            <v xml:space="preserve">STANDARD </v>
          </cell>
          <cell r="J576">
            <v>2004009493</v>
          </cell>
          <cell r="K576" t="str">
            <v>SLAMET SUPRIYADI</v>
          </cell>
          <cell r="L576" t="str">
            <v>SYA</v>
          </cell>
          <cell r="M576">
            <v>2009046163</v>
          </cell>
          <cell r="N576" t="str">
            <v>SUL HADIYANTO</v>
          </cell>
          <cell r="O576" t="str">
            <v>SUL</v>
          </cell>
          <cell r="P576" t="str">
            <v>idmT7P0@jbr.indomaret.co.id</v>
          </cell>
          <cell r="Q576" t="str">
            <v>KAB. PROBOLINGGO</v>
          </cell>
          <cell r="R576" t="str">
            <v>SDS</v>
          </cell>
        </row>
        <row r="577">
          <cell r="D577" t="str">
            <v>TKKH</v>
          </cell>
          <cell r="E577" t="str">
            <v/>
          </cell>
          <cell r="F577" t="str">
            <v>WANGKAL</v>
          </cell>
          <cell r="G577" t="str">
            <v>R</v>
          </cell>
          <cell r="H577">
            <v>45878</v>
          </cell>
          <cell r="I577" t="str">
            <v xml:space="preserve">STANDARD </v>
          </cell>
          <cell r="J577">
            <v>2004009493</v>
          </cell>
          <cell r="K577" t="str">
            <v>SLAMET SUPRIYADI</v>
          </cell>
          <cell r="L577" t="str">
            <v>SYA</v>
          </cell>
          <cell r="M577">
            <v>2009046163</v>
          </cell>
          <cell r="N577" t="str">
            <v>SUL HADIYANTO</v>
          </cell>
          <cell r="O577" t="str">
            <v>SUL</v>
          </cell>
          <cell r="P577" t="str">
            <v>idmTKKH@jbr.indomaret.co.id</v>
          </cell>
          <cell r="Q577" t="str">
            <v>KAB. PROBOLINGGO</v>
          </cell>
          <cell r="R577" t="str">
            <v>SDS</v>
          </cell>
        </row>
        <row r="578">
          <cell r="D578" t="str">
            <v>TKLK</v>
          </cell>
          <cell r="E578" t="str">
            <v/>
          </cell>
          <cell r="F578" t="str">
            <v>POINT REST AREA TOL 819 B - PBO</v>
          </cell>
          <cell r="G578" t="str">
            <v>R</v>
          </cell>
          <cell r="H578">
            <v>43828</v>
          </cell>
          <cell r="I578" t="str">
            <v>MATRIX CONVINIENCE KHUSUS</v>
          </cell>
          <cell r="J578">
            <v>2004009493</v>
          </cell>
          <cell r="K578" t="str">
            <v>SLAMET SUPRIYADI</v>
          </cell>
          <cell r="L578" t="str">
            <v>SYA</v>
          </cell>
          <cell r="M578">
            <v>2009046163</v>
          </cell>
          <cell r="N578" t="str">
            <v>SUL HADIYANTO</v>
          </cell>
          <cell r="O578" t="str">
            <v>SUL</v>
          </cell>
          <cell r="P578" t="str">
            <v>idmTKLK@jbr.indomaret.co.id</v>
          </cell>
          <cell r="Q578" t="str">
            <v>KAB. PROBOLINGGO</v>
          </cell>
          <cell r="R578" t="str">
            <v>MCK</v>
          </cell>
        </row>
        <row r="579">
          <cell r="D579" t="str">
            <v>TKT1</v>
          </cell>
          <cell r="E579" t="str">
            <v/>
          </cell>
          <cell r="F579" t="str">
            <v>KREJENGAN</v>
          </cell>
          <cell r="G579" t="str">
            <v>R</v>
          </cell>
          <cell r="H579">
            <v>45804</v>
          </cell>
          <cell r="I579" t="str">
            <v xml:space="preserve">STANDARD </v>
          </cell>
          <cell r="J579">
            <v>2004009493</v>
          </cell>
          <cell r="K579" t="str">
            <v>SLAMET SUPRIYADI</v>
          </cell>
          <cell r="L579" t="str">
            <v>SYA</v>
          </cell>
          <cell r="M579">
            <v>2009046163</v>
          </cell>
          <cell r="N579" t="str">
            <v>SUL HADIYANTO</v>
          </cell>
          <cell r="O579" t="str">
            <v>SUL</v>
          </cell>
          <cell r="P579" t="str">
            <v>idmTKT1@jbr.indomaret.co.id</v>
          </cell>
          <cell r="Q579" t="str">
            <v>KAB. PROBOLINGGO</v>
          </cell>
          <cell r="R579" t="str">
            <v>SDS</v>
          </cell>
        </row>
        <row r="580">
          <cell r="D580" t="str">
            <v>TMCE</v>
          </cell>
          <cell r="E580" t="str">
            <v/>
          </cell>
          <cell r="F580" t="str">
            <v>KRAJAN KRAKSAAN</v>
          </cell>
          <cell r="G580" t="str">
            <v>R</v>
          </cell>
          <cell r="H580">
            <v>42368</v>
          </cell>
          <cell r="I580" t="str">
            <v xml:space="preserve">STANDARD </v>
          </cell>
          <cell r="J580">
            <v>2004009493</v>
          </cell>
          <cell r="K580" t="str">
            <v>SLAMET SUPRIYADI</v>
          </cell>
          <cell r="L580" t="str">
            <v>SYA</v>
          </cell>
          <cell r="M580">
            <v>2009046163</v>
          </cell>
          <cell r="N580" t="str">
            <v>SUL HADIYANTO</v>
          </cell>
          <cell r="O580" t="str">
            <v>SUL</v>
          </cell>
          <cell r="P580" t="str">
            <v>idmTMCE@jbr.indomaret.co.id</v>
          </cell>
          <cell r="Q580" t="str">
            <v>KAB. PROBOLINGGO</v>
          </cell>
          <cell r="R580" t="str">
            <v>SDS</v>
          </cell>
        </row>
        <row r="581">
          <cell r="D581" t="str">
            <v>TOBV</v>
          </cell>
          <cell r="E581" t="str">
            <v/>
          </cell>
          <cell r="F581" t="str">
            <v>DEWI RENGGANIS</v>
          </cell>
          <cell r="G581" t="str">
            <v>R</v>
          </cell>
          <cell r="H581">
            <v>45944</v>
          </cell>
          <cell r="I581" t="str">
            <v xml:space="preserve">STANDARD </v>
          </cell>
          <cell r="J581">
            <v>2004009493</v>
          </cell>
          <cell r="K581" t="str">
            <v>SLAMET SUPRIYADI</v>
          </cell>
          <cell r="L581" t="str">
            <v>SYA</v>
          </cell>
          <cell r="M581">
            <v>2009046163</v>
          </cell>
          <cell r="N581" t="str">
            <v>SUL HADIYANTO</v>
          </cell>
          <cell r="O581" t="str">
            <v>SUL</v>
          </cell>
          <cell r="P581" t="str">
            <v>idmTOBV@jbr.indomaret.co.id</v>
          </cell>
          <cell r="Q581" t="str">
            <v>KAB. PROBOLINGGO</v>
          </cell>
          <cell r="R581" t="str">
            <v>SDS</v>
          </cell>
        </row>
        <row r="582">
          <cell r="D582" t="str">
            <v>TTZG</v>
          </cell>
          <cell r="E582" t="str">
            <v/>
          </cell>
          <cell r="F582" t="str">
            <v>RAYA CONDONG</v>
          </cell>
          <cell r="G582" t="str">
            <v>R</v>
          </cell>
          <cell r="H582">
            <v>45596</v>
          </cell>
          <cell r="I582" t="str">
            <v xml:space="preserve">STANDARD </v>
          </cell>
          <cell r="J582">
            <v>2004009493</v>
          </cell>
          <cell r="K582" t="str">
            <v>SLAMET SUPRIYADI</v>
          </cell>
          <cell r="L582" t="str">
            <v>SYA</v>
          </cell>
          <cell r="M582">
            <v>2009046163</v>
          </cell>
          <cell r="N582" t="str">
            <v>SUL HADIYANTO</v>
          </cell>
          <cell r="O582" t="str">
            <v>SUL</v>
          </cell>
          <cell r="P582" t="str">
            <v>idmTTZG@jbr.indomaret.co.id</v>
          </cell>
          <cell r="Q582" t="str">
            <v>KAB. PROBOLINGGO</v>
          </cell>
          <cell r="R582" t="str">
            <v>SDS</v>
          </cell>
        </row>
        <row r="583">
          <cell r="D583" t="str">
            <v>F7OO</v>
          </cell>
          <cell r="E583" t="str">
            <v/>
          </cell>
          <cell r="F583" t="str">
            <v>PB SUDIRMAN KM 133</v>
          </cell>
          <cell r="G583" t="str">
            <v>F</v>
          </cell>
          <cell r="H583">
            <v>45625</v>
          </cell>
          <cell r="I583" t="str">
            <v xml:space="preserve">STANDARD </v>
          </cell>
          <cell r="J583">
            <v>2004009493</v>
          </cell>
          <cell r="K583" t="str">
            <v>SLAMET SUPRIYADI</v>
          </cell>
          <cell r="L583" t="str">
            <v>SYA</v>
          </cell>
          <cell r="M583">
            <v>2005008336</v>
          </cell>
          <cell r="N583" t="str">
            <v>MOCHAMMAD NURUL ANWAR</v>
          </cell>
          <cell r="O583" t="str">
            <v>WAR</v>
          </cell>
          <cell r="P583" t="str">
            <v>idF7OO@jbr.indomaret.co.id</v>
          </cell>
          <cell r="Q583" t="str">
            <v>KAB. PROBOLINGGO</v>
          </cell>
          <cell r="R583" t="str">
            <v>SDS</v>
          </cell>
        </row>
        <row r="584">
          <cell r="D584" t="str">
            <v>FBNH</v>
          </cell>
          <cell r="E584" t="str">
            <v>T5AA</v>
          </cell>
          <cell r="F584" t="str">
            <v>SUMBER ANYAR - PBO</v>
          </cell>
          <cell r="G584" t="str">
            <v>F</v>
          </cell>
          <cell r="H584">
            <v>44927</v>
          </cell>
          <cell r="I584" t="str">
            <v xml:space="preserve">STANDARD </v>
          </cell>
          <cell r="J584">
            <v>2004009493</v>
          </cell>
          <cell r="K584" t="str">
            <v>SLAMET SUPRIYADI</v>
          </cell>
          <cell r="L584" t="str">
            <v>SYA</v>
          </cell>
          <cell r="M584">
            <v>2005008336</v>
          </cell>
          <cell r="N584" t="str">
            <v>MOCHAMMAD NURUL ANWAR</v>
          </cell>
          <cell r="O584" t="str">
            <v>WAR</v>
          </cell>
          <cell r="P584" t="str">
            <v>idFBNH@jbr.indomaret.co.id</v>
          </cell>
          <cell r="Q584" t="str">
            <v>KAB. PROBOLINGGO</v>
          </cell>
          <cell r="R584" t="str">
            <v>SDS</v>
          </cell>
        </row>
        <row r="585">
          <cell r="D585" t="str">
            <v>FDKW</v>
          </cell>
          <cell r="E585" t="str">
            <v/>
          </cell>
          <cell r="F585" t="str">
            <v>SIDOMUKTI</v>
          </cell>
          <cell r="G585" t="str">
            <v>F</v>
          </cell>
          <cell r="H585">
            <v>44325</v>
          </cell>
          <cell r="I585" t="str">
            <v xml:space="preserve">STANDARD </v>
          </cell>
          <cell r="J585">
            <v>2004009493</v>
          </cell>
          <cell r="K585" t="str">
            <v>SLAMET SUPRIYADI</v>
          </cell>
          <cell r="L585" t="str">
            <v>SYA</v>
          </cell>
          <cell r="M585">
            <v>2005008336</v>
          </cell>
          <cell r="N585" t="str">
            <v>MOCHAMMAD NURUL ANWAR</v>
          </cell>
          <cell r="O585" t="str">
            <v>WAR</v>
          </cell>
          <cell r="P585" t="str">
            <v>idFDKW@jbr.indomaret.co.id</v>
          </cell>
          <cell r="Q585" t="str">
            <v>KAB. PROBOLINGGO</v>
          </cell>
          <cell r="R585" t="str">
            <v>SDS</v>
          </cell>
        </row>
        <row r="586">
          <cell r="D586" t="str">
            <v>FE8P</v>
          </cell>
          <cell r="E586" t="str">
            <v/>
          </cell>
          <cell r="F586" t="str">
            <v>JABUNG CANDI</v>
          </cell>
          <cell r="G586" t="str">
            <v>F</v>
          </cell>
          <cell r="H586">
            <v>44316</v>
          </cell>
          <cell r="I586" t="str">
            <v xml:space="preserve">STANDARD </v>
          </cell>
          <cell r="J586">
            <v>2004009493</v>
          </cell>
          <cell r="K586" t="str">
            <v>SLAMET SUPRIYADI</v>
          </cell>
          <cell r="L586" t="str">
            <v>SYA</v>
          </cell>
          <cell r="M586">
            <v>2005008336</v>
          </cell>
          <cell r="N586" t="str">
            <v>MOCHAMMAD NURUL ANWAR</v>
          </cell>
          <cell r="O586" t="str">
            <v>WAR</v>
          </cell>
          <cell r="P586" t="str">
            <v>idFE8P@jbr.indomaret.co.id</v>
          </cell>
          <cell r="Q586" t="str">
            <v>KAB. PROBOLINGGO</v>
          </cell>
          <cell r="R586" t="str">
            <v>SDS</v>
          </cell>
        </row>
        <row r="587">
          <cell r="D587" t="str">
            <v>FMHF</v>
          </cell>
          <cell r="E587" t="str">
            <v/>
          </cell>
          <cell r="F587" t="str">
            <v>ALASSUMUR KULON</v>
          </cell>
          <cell r="G587" t="str">
            <v>F</v>
          </cell>
          <cell r="H587">
            <v>44831</v>
          </cell>
          <cell r="I587" t="str">
            <v xml:space="preserve">STANDARD </v>
          </cell>
          <cell r="J587">
            <v>2004009493</v>
          </cell>
          <cell r="K587" t="str">
            <v>SLAMET SUPRIYADI</v>
          </cell>
          <cell r="L587" t="str">
            <v>SYA</v>
          </cell>
          <cell r="M587">
            <v>2005008336</v>
          </cell>
          <cell r="N587" t="str">
            <v>MOCHAMMAD NURUL ANWAR</v>
          </cell>
          <cell r="O587" t="str">
            <v>WAR</v>
          </cell>
          <cell r="P587" t="str">
            <v>idFMHF@jbr.indomaret.co.id</v>
          </cell>
          <cell r="Q587" t="str">
            <v>KAB. PROBOLINGGO</v>
          </cell>
          <cell r="R587" t="str">
            <v>SDS</v>
          </cell>
        </row>
        <row r="588">
          <cell r="D588" t="str">
            <v>T128</v>
          </cell>
          <cell r="E588" t="str">
            <v/>
          </cell>
          <cell r="F588" t="str">
            <v>SAMBIRAMPAK</v>
          </cell>
          <cell r="G588" t="str">
            <v>R</v>
          </cell>
          <cell r="H588">
            <v>45925</v>
          </cell>
          <cell r="I588" t="str">
            <v xml:space="preserve">STANDARD </v>
          </cell>
          <cell r="J588">
            <v>2004009493</v>
          </cell>
          <cell r="K588" t="str">
            <v>SLAMET SUPRIYADI</v>
          </cell>
          <cell r="L588" t="str">
            <v>SYA</v>
          </cell>
          <cell r="M588">
            <v>2005008336</v>
          </cell>
          <cell r="N588" t="str">
            <v>MOCHAMMAD NURUL ANWAR</v>
          </cell>
          <cell r="O588" t="str">
            <v>WAR</v>
          </cell>
          <cell r="P588" t="str">
            <v>idmT128@jbr.indomaret.co.id</v>
          </cell>
          <cell r="Q588" t="str">
            <v>KAB. PROBOLINGGO</v>
          </cell>
          <cell r="R588" t="str">
            <v>SDS</v>
          </cell>
        </row>
        <row r="589">
          <cell r="D589" t="str">
            <v>TGWO</v>
          </cell>
          <cell r="E589" t="str">
            <v>FHXS</v>
          </cell>
          <cell r="F589" t="str">
            <v>TANJUNG - PAITON</v>
          </cell>
          <cell r="G589" t="str">
            <v>R</v>
          </cell>
          <cell r="H589">
            <v>42705</v>
          </cell>
          <cell r="I589" t="str">
            <v xml:space="preserve">STANDARD </v>
          </cell>
          <cell r="J589">
            <v>2004009493</v>
          </cell>
          <cell r="K589" t="str">
            <v>SLAMET SUPRIYADI</v>
          </cell>
          <cell r="L589" t="str">
            <v>SYA</v>
          </cell>
          <cell r="M589">
            <v>2005008336</v>
          </cell>
          <cell r="N589" t="str">
            <v>MOCHAMMAD NURUL ANWAR</v>
          </cell>
          <cell r="O589" t="str">
            <v>WAR</v>
          </cell>
          <cell r="P589" t="str">
            <v>idmTGWO@jbr.indomaret.co.id</v>
          </cell>
          <cell r="Q589" t="str">
            <v>KAB. PROBOLINGGO</v>
          </cell>
          <cell r="R589" t="str">
            <v>SDS</v>
          </cell>
        </row>
        <row r="590">
          <cell r="D590" t="str">
            <v>TJSW</v>
          </cell>
          <cell r="E590" t="str">
            <v>FDLT</v>
          </cell>
          <cell r="F590" t="str">
            <v>KEBON AGUNG</v>
          </cell>
          <cell r="G590" t="str">
            <v>R</v>
          </cell>
          <cell r="H590">
            <v>43678</v>
          </cell>
          <cell r="I590" t="str">
            <v xml:space="preserve">STANDARD </v>
          </cell>
          <cell r="J590">
            <v>2004009493</v>
          </cell>
          <cell r="K590" t="str">
            <v>SLAMET SUPRIYADI</v>
          </cell>
          <cell r="L590" t="str">
            <v>SYA</v>
          </cell>
          <cell r="M590">
            <v>2005008336</v>
          </cell>
          <cell r="N590" t="str">
            <v>MOCHAMMAD NURUL ANWAR</v>
          </cell>
          <cell r="O590" t="str">
            <v>WAR</v>
          </cell>
          <cell r="P590" t="str">
            <v>idmTJSW@jbr.indomaret.co.id</v>
          </cell>
          <cell r="Q590" t="str">
            <v>KAB. PROBOLINGGO</v>
          </cell>
          <cell r="R590" t="str">
            <v>SDS</v>
          </cell>
        </row>
        <row r="591">
          <cell r="D591" t="str">
            <v>TMKG</v>
          </cell>
          <cell r="E591"/>
          <cell r="F591" t="str">
            <v>RAYA BAGO 152</v>
          </cell>
          <cell r="G591" t="str">
            <v>R</v>
          </cell>
          <cell r="H591">
            <v>46019</v>
          </cell>
          <cell r="I591" t="str">
            <v xml:space="preserve">STANDARD </v>
          </cell>
          <cell r="J591">
            <v>2004009493</v>
          </cell>
          <cell r="K591" t="str">
            <v>SLAMET SUPRIYADI</v>
          </cell>
          <cell r="L591" t="str">
            <v>SYA</v>
          </cell>
          <cell r="M591">
            <v>2005008336</v>
          </cell>
          <cell r="N591" t="str">
            <v>MOCHAMMAD NURUL ANWAR</v>
          </cell>
          <cell r="O591" t="str">
            <v>WAR</v>
          </cell>
          <cell r="P591" t="str">
            <v>idmTMKG@jbr.indomaret.co.id</v>
          </cell>
          <cell r="Q591" t="str">
            <v>KAB. PROBOLINGGO</v>
          </cell>
          <cell r="R591" t="str">
            <v>SDS</v>
          </cell>
        </row>
        <row r="592">
          <cell r="D592" t="str">
            <v>TQ7M</v>
          </cell>
          <cell r="E592" t="str">
            <v/>
          </cell>
          <cell r="F592" t="str">
            <v>BESUK</v>
          </cell>
          <cell r="G592" t="str">
            <v>R</v>
          </cell>
          <cell r="H592">
            <v>45891</v>
          </cell>
          <cell r="I592" t="str">
            <v xml:space="preserve">STANDARD </v>
          </cell>
          <cell r="J592">
            <v>2004009493</v>
          </cell>
          <cell r="K592" t="str">
            <v>SLAMET SUPRIYADI</v>
          </cell>
          <cell r="L592" t="str">
            <v>SYA</v>
          </cell>
          <cell r="M592">
            <v>2005008336</v>
          </cell>
          <cell r="N592" t="str">
            <v>MOCHAMMAD NURUL ANWAR</v>
          </cell>
          <cell r="O592" t="str">
            <v>WAR</v>
          </cell>
          <cell r="P592" t="str">
            <v>idmTQ7M@jbr.indomaret.co.id</v>
          </cell>
          <cell r="Q592" t="str">
            <v>KAB. PROBOLINGGO</v>
          </cell>
          <cell r="R592" t="str">
            <v>SDS</v>
          </cell>
        </row>
        <row r="593">
          <cell r="D593" t="str">
            <v>TRIN</v>
          </cell>
          <cell r="E593" t="str">
            <v/>
          </cell>
          <cell r="F593" t="str">
            <v>JABUNG SISIR</v>
          </cell>
          <cell r="G593" t="str">
            <v>R</v>
          </cell>
          <cell r="H593">
            <v>43008</v>
          </cell>
          <cell r="I593" t="str">
            <v xml:space="preserve">STANDARD </v>
          </cell>
          <cell r="J593">
            <v>2004009493</v>
          </cell>
          <cell r="K593" t="str">
            <v>SLAMET SUPRIYADI</v>
          </cell>
          <cell r="L593" t="str">
            <v>SYA</v>
          </cell>
          <cell r="M593">
            <v>2005008336</v>
          </cell>
          <cell r="N593" t="str">
            <v>MOCHAMMAD NURUL ANWAR</v>
          </cell>
          <cell r="O593" t="str">
            <v>WAR</v>
          </cell>
          <cell r="P593" t="str">
            <v>idmTRIN@jbr.indomaret.co.id</v>
          </cell>
          <cell r="Q593" t="str">
            <v>KAB. PROBOLINGGO</v>
          </cell>
          <cell r="R593" t="str">
            <v>SDS</v>
          </cell>
        </row>
        <row r="594">
          <cell r="D594" t="str">
            <v>TRKU</v>
          </cell>
          <cell r="E594" t="str">
            <v>F7I0</v>
          </cell>
          <cell r="F594" t="str">
            <v>PAITON 2</v>
          </cell>
          <cell r="G594" t="str">
            <v>R</v>
          </cell>
          <cell r="H594">
            <v>42675</v>
          </cell>
          <cell r="I594" t="str">
            <v xml:space="preserve">STANDARD </v>
          </cell>
          <cell r="J594">
            <v>2004009493</v>
          </cell>
          <cell r="K594" t="str">
            <v>SLAMET SUPRIYADI</v>
          </cell>
          <cell r="L594" t="str">
            <v>SYA</v>
          </cell>
          <cell r="M594">
            <v>2005008336</v>
          </cell>
          <cell r="N594" t="str">
            <v>MOCHAMMAD NURUL ANWAR</v>
          </cell>
          <cell r="O594" t="str">
            <v>WAR</v>
          </cell>
          <cell r="P594" t="str">
            <v>idmTRKU@jbr.indomaret.co.id</v>
          </cell>
          <cell r="Q594" t="str">
            <v>KAB. PROBOLINGGO</v>
          </cell>
          <cell r="R594" t="str">
            <v>SDS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O (2)"/>
      <sheetName val="TOKO"/>
      <sheetName val="Sheet2"/>
      <sheetName val="AS"/>
      <sheetName val="AM"/>
      <sheetName val="Sheet1"/>
      <sheetName val="TOKO TUTUP"/>
    </sheetNames>
    <sheetDataSet>
      <sheetData sheetId="0"/>
      <sheetData sheetId="1">
        <row r="7">
          <cell r="D7" t="str">
            <v>T1F4</v>
          </cell>
          <cell r="E7" t="str">
            <v>JENDRAL SUDIRMAN KUANINO</v>
          </cell>
          <cell r="F7" t="str">
            <v>KUPANG</v>
          </cell>
          <cell r="G7" t="str">
            <v>R</v>
          </cell>
          <cell r="H7">
            <v>44772</v>
          </cell>
          <cell r="I7" t="str">
            <v>STANDARD NEW</v>
          </cell>
          <cell r="J7">
            <v>1993000489</v>
          </cell>
          <cell r="K7" t="str">
            <v>ARAFIK</v>
          </cell>
          <cell r="L7" t="str">
            <v>RFK</v>
          </cell>
          <cell r="M7">
            <v>2015469479</v>
          </cell>
          <cell r="N7" t="str">
            <v>IRFAN ALDRICK KANA</v>
          </cell>
          <cell r="O7" t="str">
            <v>INK</v>
          </cell>
          <cell r="P7" t="str">
            <v>idmT1F4@kpg.indomaret.co.id</v>
          </cell>
          <cell r="Q7" t="str">
            <v>KOD. KUPANG</v>
          </cell>
          <cell r="R7" t="str">
            <v>SDN</v>
          </cell>
        </row>
        <row r="8">
          <cell r="D8" t="str">
            <v>T5R3</v>
          </cell>
          <cell r="E8" t="str">
            <v>JEND. SOEHARTO NO. 66</v>
          </cell>
          <cell r="F8" t="str">
            <v>KUPANG</v>
          </cell>
          <cell r="G8" t="str">
            <v>R</v>
          </cell>
          <cell r="H8">
            <v>44923</v>
          </cell>
          <cell r="I8" t="str">
            <v>STANDARD NEW</v>
          </cell>
          <cell r="J8">
            <v>1993000489</v>
          </cell>
          <cell r="K8" t="str">
            <v>ARAFIK</v>
          </cell>
          <cell r="L8" t="str">
            <v>RFK</v>
          </cell>
          <cell r="M8">
            <v>2015469479</v>
          </cell>
          <cell r="N8" t="str">
            <v>IRFAN ALDRICK KANA</v>
          </cell>
          <cell r="O8" t="str">
            <v>INK</v>
          </cell>
          <cell r="P8" t="str">
            <v>idmT5R3@kpg.indomaret.co.id</v>
          </cell>
          <cell r="Q8" t="str">
            <v>KOD. KUPANG</v>
          </cell>
          <cell r="R8" t="str">
            <v>SDN</v>
          </cell>
        </row>
        <row r="9">
          <cell r="D9" t="str">
            <v>TAX0</v>
          </cell>
          <cell r="E9" t="str">
            <v>FRANS LEKU RAYA</v>
          </cell>
          <cell r="F9" t="str">
            <v>KUPANG</v>
          </cell>
          <cell r="G9" t="str">
            <v>R</v>
          </cell>
          <cell r="H9">
            <v>44879</v>
          </cell>
          <cell r="I9" t="str">
            <v>STANDARD NEW</v>
          </cell>
          <cell r="J9">
            <v>1993000489</v>
          </cell>
          <cell r="K9" t="str">
            <v>ARAFIK</v>
          </cell>
          <cell r="L9" t="str">
            <v>RFK</v>
          </cell>
          <cell r="M9">
            <v>2015469479</v>
          </cell>
          <cell r="N9" t="str">
            <v>IRFAN ALDRICK KANA</v>
          </cell>
          <cell r="O9" t="str">
            <v>INK</v>
          </cell>
          <cell r="P9" t="str">
            <v>idmTAX0@kpg.indomaret.co.id</v>
          </cell>
          <cell r="Q9" t="str">
            <v>KOD. KUPANG</v>
          </cell>
          <cell r="R9" t="str">
            <v>SDN</v>
          </cell>
        </row>
        <row r="10">
          <cell r="D10" t="str">
            <v>TBRI</v>
          </cell>
          <cell r="E10" t="str">
            <v>WJ LALAMENTIK</v>
          </cell>
          <cell r="F10" t="str">
            <v>KUPANG</v>
          </cell>
          <cell r="G10" t="str">
            <v>R</v>
          </cell>
          <cell r="H10">
            <v>45866</v>
          </cell>
          <cell r="I10" t="str">
            <v>STANDARD NEW</v>
          </cell>
          <cell r="J10">
            <v>1993000489</v>
          </cell>
          <cell r="K10" t="str">
            <v>ARAFIK</v>
          </cell>
          <cell r="L10" t="str">
            <v>RFK</v>
          </cell>
          <cell r="M10">
            <v>2015469479</v>
          </cell>
          <cell r="N10" t="str">
            <v>IRFAN ALDRICK KANA</v>
          </cell>
          <cell r="O10" t="str">
            <v>INK</v>
          </cell>
          <cell r="P10" t="str">
            <v>idmTBRI@jbr.indomaret.co.id</v>
          </cell>
          <cell r="Q10" t="str">
            <v>KOD. KUPANG</v>
          </cell>
          <cell r="R10" t="str">
            <v>SDN</v>
          </cell>
        </row>
        <row r="11">
          <cell r="D11" t="str">
            <v>TDHB</v>
          </cell>
          <cell r="E11" t="str">
            <v>TIMOR RAYA KELAPA LIMA</v>
          </cell>
          <cell r="F11" t="str">
            <v>KUPANG</v>
          </cell>
          <cell r="G11" t="str">
            <v>R</v>
          </cell>
          <cell r="H11">
            <v>44769</v>
          </cell>
          <cell r="I11" t="str">
            <v xml:space="preserve">STANDARD </v>
          </cell>
          <cell r="J11">
            <v>1993000489</v>
          </cell>
          <cell r="K11" t="str">
            <v>ARAFIK</v>
          </cell>
          <cell r="L11" t="str">
            <v>RFK</v>
          </cell>
          <cell r="M11">
            <v>2015469479</v>
          </cell>
          <cell r="N11" t="str">
            <v>IRFAN ALDRICK KANA</v>
          </cell>
          <cell r="O11" t="str">
            <v>INK</v>
          </cell>
          <cell r="P11" t="str">
            <v>idmTDHB@kpg.indomaret.co.id</v>
          </cell>
          <cell r="Q11" t="str">
            <v>KOD. KUPANG</v>
          </cell>
          <cell r="R11" t="str">
            <v>SDS</v>
          </cell>
        </row>
        <row r="12">
          <cell r="D12" t="str">
            <v>TFXL</v>
          </cell>
          <cell r="E12" t="str">
            <v>TIMOR RAYA PASIR PANJANG</v>
          </cell>
          <cell r="F12" t="str">
            <v>KUPANG</v>
          </cell>
          <cell r="G12" t="str">
            <v>R</v>
          </cell>
          <cell r="H12">
            <v>44909</v>
          </cell>
          <cell r="I12" t="str">
            <v xml:space="preserve">STANDARD </v>
          </cell>
          <cell r="J12">
            <v>1993000489</v>
          </cell>
          <cell r="K12" t="str">
            <v>ARAFIK</v>
          </cell>
          <cell r="L12" t="str">
            <v>RFK</v>
          </cell>
          <cell r="M12">
            <v>2015469479</v>
          </cell>
          <cell r="N12" t="str">
            <v>IRFAN ALDRICK KANA</v>
          </cell>
          <cell r="O12" t="str">
            <v>INK</v>
          </cell>
          <cell r="P12" t="str">
            <v>idmTFXL@kpg.indomaret.co.id</v>
          </cell>
          <cell r="Q12" t="str">
            <v>KOD. KUPANG</v>
          </cell>
          <cell r="R12" t="str">
            <v>SDS</v>
          </cell>
        </row>
        <row r="13">
          <cell r="D13" t="str">
            <v>THXA</v>
          </cell>
          <cell r="E13" t="str">
            <v>THAMRIN KAYU PUTIH</v>
          </cell>
          <cell r="F13" t="str">
            <v>KUPANG</v>
          </cell>
          <cell r="G13" t="str">
            <v>R</v>
          </cell>
          <cell r="H13">
            <v>44985</v>
          </cell>
          <cell r="I13" t="str">
            <v xml:space="preserve">STANDARD </v>
          </cell>
          <cell r="J13">
            <v>1993000489</v>
          </cell>
          <cell r="K13" t="str">
            <v>ARAFIK</v>
          </cell>
          <cell r="L13" t="str">
            <v>RFK</v>
          </cell>
          <cell r="M13">
            <v>2015469479</v>
          </cell>
          <cell r="N13" t="str">
            <v>IRFAN ALDRICK KANA</v>
          </cell>
          <cell r="O13" t="str">
            <v>INK</v>
          </cell>
          <cell r="P13" t="str">
            <v>idmTHXA@kpg.indomaret.co.id</v>
          </cell>
          <cell r="Q13" t="str">
            <v>KOD. KUPANG</v>
          </cell>
          <cell r="R13" t="str">
            <v>SDS</v>
          </cell>
        </row>
        <row r="14">
          <cell r="D14" t="str">
            <v>TIHU</v>
          </cell>
          <cell r="E14" t="str">
            <v>PERINTIS KEMERDEKAAN</v>
          </cell>
          <cell r="F14" t="str">
            <v>KUPANG</v>
          </cell>
          <cell r="G14" t="str">
            <v>R</v>
          </cell>
          <cell r="H14">
            <v>44859</v>
          </cell>
          <cell r="I14" t="str">
            <v xml:space="preserve">STANDARD </v>
          </cell>
          <cell r="J14">
            <v>1993000489</v>
          </cell>
          <cell r="K14" t="str">
            <v>ARAFIK</v>
          </cell>
          <cell r="L14" t="str">
            <v>RFK</v>
          </cell>
          <cell r="M14">
            <v>2015469479</v>
          </cell>
          <cell r="N14" t="str">
            <v>IRFAN ALDRICK KANA</v>
          </cell>
          <cell r="O14" t="str">
            <v>INK</v>
          </cell>
          <cell r="P14" t="str">
            <v>idmTIHU@kpg.indomaret.co.id</v>
          </cell>
          <cell r="Q14" t="str">
            <v>KOD. KUPANG</v>
          </cell>
          <cell r="R14" t="str">
            <v>SDS</v>
          </cell>
        </row>
        <row r="15">
          <cell r="D15" t="str">
            <v>TLN2</v>
          </cell>
          <cell r="E15" t="str">
            <v>TIMOR RAYA KM 9</v>
          </cell>
          <cell r="F15" t="str">
            <v>KUPANG</v>
          </cell>
          <cell r="G15" t="str">
            <v>R</v>
          </cell>
          <cell r="H15">
            <v>44850</v>
          </cell>
          <cell r="I15" t="str">
            <v xml:space="preserve">STANDARD </v>
          </cell>
          <cell r="J15">
            <v>1993000489</v>
          </cell>
          <cell r="K15" t="str">
            <v>ARAFIK</v>
          </cell>
          <cell r="L15" t="str">
            <v>RFK</v>
          </cell>
          <cell r="M15">
            <v>2015469479</v>
          </cell>
          <cell r="N15" t="str">
            <v>IRFAN ALDRICK KANA</v>
          </cell>
          <cell r="O15" t="str">
            <v>INK</v>
          </cell>
          <cell r="P15" t="str">
            <v>idmTLN2@kpg.indomaret.co.id</v>
          </cell>
          <cell r="Q15" t="str">
            <v>KOD. KUPANG</v>
          </cell>
          <cell r="R15" t="str">
            <v>SDS</v>
          </cell>
        </row>
        <row r="16">
          <cell r="D16" t="str">
            <v>TNY2</v>
          </cell>
          <cell r="E16" t="str">
            <v>ALFONSIUS NISNONI</v>
          </cell>
          <cell r="F16" t="str">
            <v>KUPANG</v>
          </cell>
          <cell r="G16" t="str">
            <v>R</v>
          </cell>
          <cell r="H16">
            <v>44953</v>
          </cell>
          <cell r="I16" t="str">
            <v>STANDARD NEW</v>
          </cell>
          <cell r="J16">
            <v>1993000489</v>
          </cell>
          <cell r="K16" t="str">
            <v>ARAFIK</v>
          </cell>
          <cell r="L16" t="str">
            <v>RFK</v>
          </cell>
          <cell r="M16">
            <v>2015469479</v>
          </cell>
          <cell r="N16" t="str">
            <v>IRFAN ALDRICK KANA</v>
          </cell>
          <cell r="O16" t="str">
            <v>INK</v>
          </cell>
          <cell r="P16" t="str">
            <v>idmTNY2@kpg.indomaret.co.id</v>
          </cell>
          <cell r="Q16" t="str">
            <v>KOD. KUPANG</v>
          </cell>
          <cell r="R16" t="str">
            <v>SDN</v>
          </cell>
        </row>
        <row r="17">
          <cell r="D17" t="str">
            <v>TQTM</v>
          </cell>
          <cell r="E17" t="str">
            <v>SOEHARTO 88</v>
          </cell>
          <cell r="F17" t="str">
            <v>KUPANG</v>
          </cell>
          <cell r="G17" t="str">
            <v>R</v>
          </cell>
          <cell r="H17">
            <v>45524</v>
          </cell>
          <cell r="I17" t="str">
            <v xml:space="preserve">STANDARD </v>
          </cell>
          <cell r="J17">
            <v>1993000489</v>
          </cell>
          <cell r="K17" t="str">
            <v>ARAFIK</v>
          </cell>
          <cell r="L17" t="str">
            <v>RFK</v>
          </cell>
          <cell r="M17">
            <v>2015469479</v>
          </cell>
          <cell r="N17" t="str">
            <v>IRFAN ALDRICK KANA</v>
          </cell>
          <cell r="O17" t="str">
            <v>INK</v>
          </cell>
          <cell r="P17" t="str">
            <v>idmTQTM@kpg.indomaret.co.id</v>
          </cell>
          <cell r="Q17" t="str">
            <v>KOD. KUPANG</v>
          </cell>
          <cell r="R17" t="str">
            <v>SDS</v>
          </cell>
        </row>
        <row r="18">
          <cell r="D18" t="str">
            <v>TSUV</v>
          </cell>
          <cell r="E18" t="str">
            <v>AINIBA</v>
          </cell>
          <cell r="F18" t="str">
            <v>KUPANG</v>
          </cell>
          <cell r="G18" t="str">
            <v>R</v>
          </cell>
          <cell r="H18">
            <v>44917</v>
          </cell>
          <cell r="I18" t="str">
            <v xml:space="preserve">STANDARD </v>
          </cell>
          <cell r="J18">
            <v>1993000489</v>
          </cell>
          <cell r="K18" t="str">
            <v>ARAFIK</v>
          </cell>
          <cell r="L18" t="str">
            <v>RFK</v>
          </cell>
          <cell r="M18">
            <v>2015469479</v>
          </cell>
          <cell r="N18" t="str">
            <v>IRFAN ALDRICK KANA</v>
          </cell>
          <cell r="O18" t="str">
            <v>INK</v>
          </cell>
          <cell r="P18" t="str">
            <v>idmTSUV@kpg.indomaret.co.id</v>
          </cell>
          <cell r="Q18" t="str">
            <v>KOD. KUPANG</v>
          </cell>
          <cell r="R18" t="str">
            <v>SDS</v>
          </cell>
        </row>
        <row r="19">
          <cell r="D19" t="str">
            <v>TUWA</v>
          </cell>
          <cell r="E19" t="str">
            <v>TIMOR RAYA KM. 10</v>
          </cell>
          <cell r="F19" t="str">
            <v>KUPANG</v>
          </cell>
          <cell r="G19" t="str">
            <v>R</v>
          </cell>
          <cell r="H19">
            <v>44895</v>
          </cell>
          <cell r="I19" t="str">
            <v xml:space="preserve">STANDARD </v>
          </cell>
          <cell r="J19">
            <v>1993000489</v>
          </cell>
          <cell r="K19" t="str">
            <v>ARAFIK</v>
          </cell>
          <cell r="L19" t="str">
            <v>RFK</v>
          </cell>
          <cell r="M19">
            <v>2015469479</v>
          </cell>
          <cell r="N19" t="str">
            <v>IRFAN ALDRICK KANA</v>
          </cell>
          <cell r="O19" t="str">
            <v>INK</v>
          </cell>
          <cell r="P19" t="str">
            <v>idmTUWA@kpg.indomaret.co.id</v>
          </cell>
          <cell r="Q19" t="str">
            <v>KOD. KUPANG</v>
          </cell>
          <cell r="R19" t="str">
            <v>SDS</v>
          </cell>
        </row>
        <row r="20">
          <cell r="D20" t="str">
            <v>T1DW</v>
          </cell>
          <cell r="E20" t="str">
            <v>R. E. MARTADINATA BELU</v>
          </cell>
          <cell r="F20" t="str">
            <v>KUPANG</v>
          </cell>
          <cell r="G20" t="str">
            <v>R</v>
          </cell>
          <cell r="H20">
            <v>45565</v>
          </cell>
          <cell r="I20" t="str">
            <v xml:space="preserve">STANDARD </v>
          </cell>
          <cell r="J20">
            <v>1993000489</v>
          </cell>
          <cell r="K20" t="str">
            <v>ARAFIK</v>
          </cell>
          <cell r="L20" t="str">
            <v>RFK</v>
          </cell>
          <cell r="M20">
            <v>2013048071</v>
          </cell>
          <cell r="N20" t="str">
            <v>PUJIANTO</v>
          </cell>
          <cell r="O20" t="str">
            <v>PJO</v>
          </cell>
          <cell r="P20" t="str">
            <v>idmT1DW@kpg.indomaret.co.id</v>
          </cell>
          <cell r="Q20" t="str">
            <v>KAB. BELU</v>
          </cell>
          <cell r="R20" t="str">
            <v>SDS</v>
          </cell>
        </row>
        <row r="21">
          <cell r="D21" t="str">
            <v>TBY5</v>
          </cell>
          <cell r="E21" t="str">
            <v>RAYA ATAMBUA</v>
          </cell>
          <cell r="F21" t="str">
            <v>KUPANG</v>
          </cell>
          <cell r="G21" t="str">
            <v>R</v>
          </cell>
          <cell r="H21">
            <v>45289</v>
          </cell>
          <cell r="I21" t="str">
            <v xml:space="preserve">STANDARD </v>
          </cell>
          <cell r="J21">
            <v>1993000489</v>
          </cell>
          <cell r="K21" t="str">
            <v>ARAFIK</v>
          </cell>
          <cell r="L21" t="str">
            <v>RFK</v>
          </cell>
          <cell r="M21">
            <v>2013048071</v>
          </cell>
          <cell r="N21" t="str">
            <v>PUJIANTO</v>
          </cell>
          <cell r="O21" t="str">
            <v>PJO</v>
          </cell>
          <cell r="P21" t="str">
            <v>idmTBY5@kpg.indomaret.co.id</v>
          </cell>
          <cell r="Q21" t="str">
            <v>KAB. BELU</v>
          </cell>
          <cell r="R21" t="str">
            <v>SDS</v>
          </cell>
        </row>
        <row r="22">
          <cell r="D22" t="str">
            <v>TDP9</v>
          </cell>
          <cell r="E22" t="str">
            <v>RAYA HALILULIK</v>
          </cell>
          <cell r="F22" t="str">
            <v>KUPANG</v>
          </cell>
          <cell r="G22" t="str">
            <v>R</v>
          </cell>
          <cell r="H22">
            <v>46094</v>
          </cell>
          <cell r="I22" t="str">
            <v xml:space="preserve">STANDARD </v>
          </cell>
          <cell r="J22">
            <v>1993000489</v>
          </cell>
          <cell r="K22" t="str">
            <v>ARAFIK</v>
          </cell>
          <cell r="L22" t="str">
            <v>RFK</v>
          </cell>
          <cell r="M22">
            <v>2013048071</v>
          </cell>
          <cell r="N22" t="str">
            <v>PUJIANTO</v>
          </cell>
          <cell r="O22" t="str">
            <v>PJO</v>
          </cell>
          <cell r="P22" t="str">
            <v>idmTDP9@kpg.indomaret.co.id</v>
          </cell>
          <cell r="Q22" t="str">
            <v>KAB. BELU</v>
          </cell>
          <cell r="R22" t="str">
            <v>SDS</v>
          </cell>
        </row>
        <row r="23">
          <cell r="D23" t="str">
            <v>TJAX</v>
          </cell>
          <cell r="E23" t="str">
            <v>MARSDA ADI SUCIPTO TENUKIIK</v>
          </cell>
          <cell r="F23" t="str">
            <v>KUPANG</v>
          </cell>
          <cell r="G23" t="str">
            <v>R</v>
          </cell>
          <cell r="H23">
            <v>45513</v>
          </cell>
          <cell r="I23" t="str">
            <v xml:space="preserve">STANDARD </v>
          </cell>
          <cell r="J23">
            <v>1993000489</v>
          </cell>
          <cell r="K23" t="str">
            <v>ARAFIK</v>
          </cell>
          <cell r="L23" t="str">
            <v>RFK</v>
          </cell>
          <cell r="M23">
            <v>2013048071</v>
          </cell>
          <cell r="N23" t="str">
            <v>PUJIANTO</v>
          </cell>
          <cell r="O23" t="str">
            <v>PJO</v>
          </cell>
          <cell r="P23" t="str">
            <v>idmTJAX@kpg.indomaret.co.id</v>
          </cell>
          <cell r="Q23" t="str">
            <v>KAB. BELU</v>
          </cell>
          <cell r="R23" t="str">
            <v>SDS</v>
          </cell>
        </row>
        <row r="24">
          <cell r="D24" t="str">
            <v>TKEA</v>
          </cell>
          <cell r="E24" t="str">
            <v>KEFAMENANU TTU</v>
          </cell>
          <cell r="F24" t="str">
            <v>KUPANG</v>
          </cell>
          <cell r="G24" t="str">
            <v>R</v>
          </cell>
          <cell r="H24">
            <v>45236</v>
          </cell>
          <cell r="I24" t="str">
            <v>STANDARD NEW</v>
          </cell>
          <cell r="J24">
            <v>1993000489</v>
          </cell>
          <cell r="K24" t="str">
            <v>ARAFIK</v>
          </cell>
          <cell r="L24" t="str">
            <v>RFK</v>
          </cell>
          <cell r="M24">
            <v>2013048071</v>
          </cell>
          <cell r="N24" t="str">
            <v>PUJIANTO</v>
          </cell>
          <cell r="O24" t="str">
            <v>PJO</v>
          </cell>
          <cell r="P24" t="str">
            <v>idmTKEA@kpg.indomaret.co.id</v>
          </cell>
          <cell r="Q24" t="str">
            <v>KAB. TIMOR TENGAH UTARA</v>
          </cell>
          <cell r="R24" t="str">
            <v>SDN</v>
          </cell>
        </row>
        <row r="25">
          <cell r="D25" t="str">
            <v>TQ4M</v>
          </cell>
          <cell r="E25" t="str">
            <v>A YANI TTU</v>
          </cell>
          <cell r="F25" t="str">
            <v>KUPANG</v>
          </cell>
          <cell r="G25" t="str">
            <v>R</v>
          </cell>
          <cell r="H25">
            <v>45258</v>
          </cell>
          <cell r="I25" t="str">
            <v xml:space="preserve">STANDARD </v>
          </cell>
          <cell r="J25">
            <v>1993000489</v>
          </cell>
          <cell r="K25" t="str">
            <v>ARAFIK</v>
          </cell>
          <cell r="L25" t="str">
            <v>RFK</v>
          </cell>
          <cell r="M25">
            <v>2013048071</v>
          </cell>
          <cell r="N25" t="str">
            <v>PUJIANTO</v>
          </cell>
          <cell r="O25" t="str">
            <v>PJO</v>
          </cell>
          <cell r="P25" t="str">
            <v>idmTQ4M@kpg.indomaret.co.id</v>
          </cell>
          <cell r="Q25" t="str">
            <v>KAB. TIMOR TENGAH UTARA</v>
          </cell>
          <cell r="R25" t="str">
            <v>SDS</v>
          </cell>
        </row>
        <row r="26">
          <cell r="D26" t="str">
            <v>TQ6C</v>
          </cell>
          <cell r="E26" t="str">
            <v>KASIMO BEIRAFU ATAMBUA BELU</v>
          </cell>
          <cell r="F26" t="str">
            <v>KUPANG</v>
          </cell>
          <cell r="G26" t="str">
            <v>R</v>
          </cell>
          <cell r="H26">
            <v>45268</v>
          </cell>
          <cell r="I26" t="str">
            <v>STANDARD NEW</v>
          </cell>
          <cell r="J26">
            <v>1993000489</v>
          </cell>
          <cell r="K26" t="str">
            <v>ARAFIK</v>
          </cell>
          <cell r="L26" t="str">
            <v>RFK</v>
          </cell>
          <cell r="M26">
            <v>2013048071</v>
          </cell>
          <cell r="N26" t="str">
            <v>PUJIANTO</v>
          </cell>
          <cell r="O26" t="str">
            <v>PJO</v>
          </cell>
          <cell r="P26" t="str">
            <v>idmTQ6C@kpg.indomaret.co.id</v>
          </cell>
          <cell r="Q26" t="str">
            <v>KAB. BELU</v>
          </cell>
          <cell r="R26" t="str">
            <v>SDN</v>
          </cell>
        </row>
        <row r="27">
          <cell r="D27" t="str">
            <v>TUI0</v>
          </cell>
          <cell r="E27" t="str">
            <v>IJ KASIMO</v>
          </cell>
          <cell r="F27" t="str">
            <v>KUPANG</v>
          </cell>
          <cell r="G27" t="str">
            <v>R</v>
          </cell>
          <cell r="H27">
            <v>45596</v>
          </cell>
          <cell r="I27" t="str">
            <v xml:space="preserve">STANDARD </v>
          </cell>
          <cell r="J27">
            <v>1993000489</v>
          </cell>
          <cell r="K27" t="str">
            <v>ARAFIK</v>
          </cell>
          <cell r="L27" t="str">
            <v>RFK</v>
          </cell>
          <cell r="M27">
            <v>2013048071</v>
          </cell>
          <cell r="N27" t="str">
            <v>PUJIANTO</v>
          </cell>
          <cell r="O27" t="str">
            <v>PJO</v>
          </cell>
          <cell r="P27" t="str">
            <v>idmTUIO@kpg.indomaret.co.id</v>
          </cell>
          <cell r="Q27" t="str">
            <v>KAB. BELU</v>
          </cell>
          <cell r="R27" t="str">
            <v>SDS</v>
          </cell>
        </row>
        <row r="28">
          <cell r="D28" t="str">
            <v>TV0M</v>
          </cell>
          <cell r="E28" t="str">
            <v>HM.YAMIN ATAMBUA</v>
          </cell>
          <cell r="F28" t="str">
            <v>KUPANG</v>
          </cell>
          <cell r="G28" t="str">
            <v>R</v>
          </cell>
          <cell r="H28">
            <v>45288</v>
          </cell>
          <cell r="I28" t="str">
            <v xml:space="preserve">STANDARD </v>
          </cell>
          <cell r="J28">
            <v>1993000489</v>
          </cell>
          <cell r="K28" t="str">
            <v>ARAFIK</v>
          </cell>
          <cell r="L28" t="str">
            <v>RFK</v>
          </cell>
          <cell r="M28">
            <v>2013048071</v>
          </cell>
          <cell r="N28" t="str">
            <v>PUJIANTO</v>
          </cell>
          <cell r="O28" t="str">
            <v>PJO</v>
          </cell>
          <cell r="P28" t="str">
            <v>idmTV0M@kpg.indomaret.co.id</v>
          </cell>
          <cell r="Q28" t="str">
            <v>KAB. BELU</v>
          </cell>
          <cell r="R28" t="str">
            <v>SDS</v>
          </cell>
        </row>
        <row r="29">
          <cell r="D29" t="str">
            <v>TYWS</v>
          </cell>
          <cell r="E29" t="str">
            <v>MERDEKA ATAMBUA - BELU</v>
          </cell>
          <cell r="F29" t="str">
            <v>KUPANG</v>
          </cell>
          <cell r="G29" t="str">
            <v>R</v>
          </cell>
          <cell r="H29">
            <v>45288</v>
          </cell>
          <cell r="I29" t="str">
            <v>STANDARD NEW</v>
          </cell>
          <cell r="J29">
            <v>1993000489</v>
          </cell>
          <cell r="K29" t="str">
            <v>ARAFIK</v>
          </cell>
          <cell r="L29" t="str">
            <v>RFK</v>
          </cell>
          <cell r="M29">
            <v>2013048071</v>
          </cell>
          <cell r="N29" t="str">
            <v>PUJIANTO</v>
          </cell>
          <cell r="O29" t="str">
            <v>PJO</v>
          </cell>
          <cell r="P29" t="str">
            <v>idmTWYS@kpg.indomaret.co.id</v>
          </cell>
          <cell r="Q29" t="str">
            <v>KAB. BELU</v>
          </cell>
          <cell r="R29" t="str">
            <v>SDN</v>
          </cell>
        </row>
        <row r="30">
          <cell r="D30" t="str">
            <v>T2JY</v>
          </cell>
          <cell r="E30" t="str">
            <v>LINTAS OINLASI</v>
          </cell>
          <cell r="F30" t="str">
            <v>KUPANG</v>
          </cell>
          <cell r="G30" t="str">
            <v>R</v>
          </cell>
          <cell r="H30">
            <v>46017</v>
          </cell>
          <cell r="I30" t="str">
            <v>STANDARD NEW</v>
          </cell>
          <cell r="J30">
            <v>1993000489</v>
          </cell>
          <cell r="K30" t="str">
            <v>ARAFIK</v>
          </cell>
          <cell r="L30" t="str">
            <v>RFK</v>
          </cell>
          <cell r="M30">
            <v>2015469476</v>
          </cell>
          <cell r="N30" t="str">
            <v>RHAZILUN MARSYAHID BADU</v>
          </cell>
          <cell r="O30" t="str">
            <v>RMB</v>
          </cell>
          <cell r="P30" t="str">
            <v>idmT2JY@kpg.indomaret.co.id</v>
          </cell>
          <cell r="Q30" t="str">
            <v>KAB. TIMOR TENGAH SELATAN</v>
          </cell>
          <cell r="R30" t="str">
            <v>SDN</v>
          </cell>
        </row>
        <row r="31">
          <cell r="D31" t="str">
            <v>T6AH</v>
          </cell>
          <cell r="E31" t="str">
            <v>HAYAM WURUK SOE - TTS</v>
          </cell>
          <cell r="F31" t="str">
            <v>KUPANG</v>
          </cell>
          <cell r="G31" t="str">
            <v>R</v>
          </cell>
          <cell r="H31">
            <v>45053</v>
          </cell>
          <cell r="I31" t="str">
            <v xml:space="preserve">STANDARD </v>
          </cell>
          <cell r="J31">
            <v>1993000489</v>
          </cell>
          <cell r="K31" t="str">
            <v>ARAFIK</v>
          </cell>
          <cell r="L31" t="str">
            <v>RFK</v>
          </cell>
          <cell r="M31">
            <v>2015469476</v>
          </cell>
          <cell r="N31" t="str">
            <v>RHAZILUN MARSYAHID BADU</v>
          </cell>
          <cell r="O31" t="str">
            <v>RMB</v>
          </cell>
          <cell r="P31" t="str">
            <v>idmT6AH@kpg.indomaret.co.id</v>
          </cell>
          <cell r="Q31" t="str">
            <v>KAB. TIMOR TENGAH SELATAN</v>
          </cell>
          <cell r="R31" t="str">
            <v>SDS</v>
          </cell>
        </row>
        <row r="32">
          <cell r="D32" t="str">
            <v>T9RY</v>
          </cell>
          <cell r="E32" t="str">
            <v>TR CAMPLONG I</v>
          </cell>
          <cell r="F32" t="str">
            <v>KUPANG</v>
          </cell>
          <cell r="G32" t="str">
            <v>R</v>
          </cell>
          <cell r="H32">
            <v>45287</v>
          </cell>
          <cell r="I32" t="str">
            <v xml:space="preserve">STANDARD </v>
          </cell>
          <cell r="J32">
            <v>1993000489</v>
          </cell>
          <cell r="K32" t="str">
            <v>ARAFIK</v>
          </cell>
          <cell r="L32" t="str">
            <v>RFK</v>
          </cell>
          <cell r="M32">
            <v>2015469476</v>
          </cell>
          <cell r="N32" t="str">
            <v>RHAZILUN MARSYAHID BADU</v>
          </cell>
          <cell r="O32" t="str">
            <v>RMB</v>
          </cell>
          <cell r="P32" t="str">
            <v>idmT9RY@kpg.indomaret.co.id</v>
          </cell>
          <cell r="Q32" t="str">
            <v>KAB. KUPANG</v>
          </cell>
          <cell r="R32" t="str">
            <v>SDS</v>
          </cell>
        </row>
        <row r="33">
          <cell r="D33" t="str">
            <v>TC8O</v>
          </cell>
          <cell r="E33" t="str">
            <v>BUMI 1 LILIBA</v>
          </cell>
          <cell r="F33" t="str">
            <v>KUPANG</v>
          </cell>
          <cell r="G33" t="str">
            <v>R</v>
          </cell>
          <cell r="H33">
            <v>44915</v>
          </cell>
          <cell r="I33" t="str">
            <v>STANDARD NEW</v>
          </cell>
          <cell r="J33">
            <v>1993000489</v>
          </cell>
          <cell r="K33" t="str">
            <v>ARAFIK</v>
          </cell>
          <cell r="L33" t="str">
            <v>RFK</v>
          </cell>
          <cell r="M33">
            <v>2015469476</v>
          </cell>
          <cell r="N33" t="str">
            <v>RHAZILUN MARSYAHID BADU</v>
          </cell>
          <cell r="O33" t="str">
            <v>RMB</v>
          </cell>
          <cell r="P33" t="str">
            <v>idmTC8O@kpg.indomaret.co.id</v>
          </cell>
          <cell r="Q33" t="str">
            <v>KOD. KUPANG</v>
          </cell>
          <cell r="R33" t="str">
            <v>SDN</v>
          </cell>
        </row>
        <row r="34">
          <cell r="D34" t="str">
            <v>TE9I</v>
          </cell>
          <cell r="E34" t="str">
            <v>A YANI SOE</v>
          </cell>
          <cell r="F34" t="str">
            <v>KUPANG</v>
          </cell>
          <cell r="G34" t="str">
            <v>R</v>
          </cell>
          <cell r="H34">
            <v>45044</v>
          </cell>
          <cell r="I34" t="str">
            <v xml:space="preserve">STANDARD </v>
          </cell>
          <cell r="J34">
            <v>1993000489</v>
          </cell>
          <cell r="K34" t="str">
            <v>ARAFIK</v>
          </cell>
          <cell r="L34" t="str">
            <v>RFK</v>
          </cell>
          <cell r="M34">
            <v>2015469476</v>
          </cell>
          <cell r="N34" t="str">
            <v>RHAZILUN MARSYAHID BADU</v>
          </cell>
          <cell r="O34" t="str">
            <v>RMB</v>
          </cell>
          <cell r="P34" t="str">
            <v>idmTE9I@kpg.indomaret.co.id</v>
          </cell>
          <cell r="Q34" t="str">
            <v>KAB. TIMOR TENGAH SELATAN</v>
          </cell>
          <cell r="R34" t="str">
            <v>SDS</v>
          </cell>
        </row>
        <row r="35">
          <cell r="D35" t="str">
            <v>TFYM</v>
          </cell>
          <cell r="E35" t="str">
            <v>AHMAD YANI</v>
          </cell>
          <cell r="F35" t="str">
            <v>KUPANG</v>
          </cell>
          <cell r="G35" t="str">
            <v>R</v>
          </cell>
          <cell r="H35">
            <v>45249</v>
          </cell>
          <cell r="I35" t="str">
            <v xml:space="preserve">STANDARD </v>
          </cell>
          <cell r="J35">
            <v>1993000489</v>
          </cell>
          <cell r="K35" t="str">
            <v>ARAFIK</v>
          </cell>
          <cell r="L35" t="str">
            <v>RFK</v>
          </cell>
          <cell r="M35">
            <v>2015469476</v>
          </cell>
          <cell r="N35" t="str">
            <v>RHAZILUN MARSYAHID BADU</v>
          </cell>
          <cell r="O35" t="str">
            <v>RMB</v>
          </cell>
          <cell r="P35" t="str">
            <v>idmTFYM@kpg.indomaret.co.id</v>
          </cell>
          <cell r="Q35" t="str">
            <v>KAB. TIMOR TENGAH SELATAN</v>
          </cell>
          <cell r="R35" t="str">
            <v>SDS</v>
          </cell>
        </row>
        <row r="36">
          <cell r="D36" t="str">
            <v>TG5Z</v>
          </cell>
          <cell r="E36" t="str">
            <v>ELTARI KM.7 TTU</v>
          </cell>
          <cell r="F36" t="str">
            <v>KUPANG</v>
          </cell>
          <cell r="G36" t="str">
            <v>R</v>
          </cell>
          <cell r="H36">
            <v>45351</v>
          </cell>
          <cell r="I36" t="str">
            <v xml:space="preserve">STANDARD </v>
          </cell>
          <cell r="J36">
            <v>1993000489</v>
          </cell>
          <cell r="K36" t="str">
            <v>ARAFIK</v>
          </cell>
          <cell r="L36" t="str">
            <v>RFK</v>
          </cell>
          <cell r="M36">
            <v>2015469476</v>
          </cell>
          <cell r="N36" t="str">
            <v>RHAZILUN MARSYAHID BADU</v>
          </cell>
          <cell r="O36" t="str">
            <v>RMB</v>
          </cell>
          <cell r="P36" t="str">
            <v>idmTG5Z@kpg.indomaret.co.id</v>
          </cell>
          <cell r="Q36" t="str">
            <v>KAB. TIMOR TENGAH UTARA</v>
          </cell>
          <cell r="R36" t="str">
            <v>SDS</v>
          </cell>
        </row>
        <row r="37">
          <cell r="D37" t="str">
            <v>TQ2Z</v>
          </cell>
          <cell r="E37" t="str">
            <v>TAKARI</v>
          </cell>
          <cell r="F37" t="str">
            <v>KUPANG</v>
          </cell>
          <cell r="G37" t="str">
            <v>R</v>
          </cell>
          <cell r="H37">
            <v>45087</v>
          </cell>
          <cell r="I37" t="str">
            <v>STANDARD NEW</v>
          </cell>
          <cell r="J37">
            <v>1993000489</v>
          </cell>
          <cell r="K37" t="str">
            <v>ARAFIK</v>
          </cell>
          <cell r="L37" t="str">
            <v>RFK</v>
          </cell>
          <cell r="M37">
            <v>2015469476</v>
          </cell>
          <cell r="N37" t="str">
            <v>RHAZILUN MARSYAHID BADU</v>
          </cell>
          <cell r="O37" t="str">
            <v>RMB</v>
          </cell>
          <cell r="P37" t="str">
            <v>idmTQ2Z@kpg.indomaret.co.id</v>
          </cell>
          <cell r="Q37" t="str">
            <v>KAB. KUPANG</v>
          </cell>
          <cell r="R37" t="str">
            <v>SDN</v>
          </cell>
        </row>
        <row r="38">
          <cell r="D38" t="str">
            <v>TV2H</v>
          </cell>
          <cell r="E38" t="str">
            <v>KARTINI KEFA</v>
          </cell>
          <cell r="F38" t="str">
            <v>KUPANG</v>
          </cell>
          <cell r="G38" t="str">
            <v>R</v>
          </cell>
          <cell r="H38">
            <v>45247</v>
          </cell>
          <cell r="I38" t="str">
            <v xml:space="preserve">STANDARD </v>
          </cell>
          <cell r="J38">
            <v>1993000489</v>
          </cell>
          <cell r="K38" t="str">
            <v>ARAFIK</v>
          </cell>
          <cell r="L38" t="str">
            <v>RFK</v>
          </cell>
          <cell r="M38">
            <v>2015469476</v>
          </cell>
          <cell r="N38" t="str">
            <v>RHAZILUN MARSYAHID BADU</v>
          </cell>
          <cell r="O38" t="str">
            <v>RMB</v>
          </cell>
          <cell r="P38" t="str">
            <v>idmTV2H@kpg.indomaret.co.id</v>
          </cell>
          <cell r="Q38" t="str">
            <v>KAB. TIMOR TENGAH UTARA</v>
          </cell>
          <cell r="R38" t="str">
            <v>SDS</v>
          </cell>
        </row>
        <row r="39">
          <cell r="D39" t="str">
            <v>TVB9</v>
          </cell>
          <cell r="E39" t="str">
            <v>DIPONEGORO SOE</v>
          </cell>
          <cell r="F39" t="str">
            <v>KUPANG</v>
          </cell>
          <cell r="G39" t="str">
            <v>R</v>
          </cell>
          <cell r="H39">
            <v>45929</v>
          </cell>
          <cell r="I39" t="str">
            <v xml:space="preserve">STANDARD </v>
          </cell>
          <cell r="J39">
            <v>1993000489</v>
          </cell>
          <cell r="K39" t="str">
            <v>ARAFIK</v>
          </cell>
          <cell r="L39" t="str">
            <v>RFK</v>
          </cell>
          <cell r="M39">
            <v>2015469476</v>
          </cell>
          <cell r="N39" t="str">
            <v>RHAZILUN MARSYAHID BADU</v>
          </cell>
          <cell r="O39" t="str">
            <v>RMB</v>
          </cell>
          <cell r="P39" t="str">
            <v>idmTVB9@kpg.indomaret.co.id</v>
          </cell>
          <cell r="Q39" t="str">
            <v>KAB. TIMUR TENGAH SELATAN</v>
          </cell>
          <cell r="R39" t="str">
            <v>SDS</v>
          </cell>
        </row>
        <row r="40">
          <cell r="D40" t="str">
            <v>TYP0</v>
          </cell>
          <cell r="E40" t="str">
            <v>ELTARI KM 3 TTU</v>
          </cell>
          <cell r="F40" t="str">
            <v>KUPANG</v>
          </cell>
          <cell r="G40" t="str">
            <v>R</v>
          </cell>
          <cell r="H40">
            <v>45259</v>
          </cell>
          <cell r="I40" t="str">
            <v xml:space="preserve">STANDARD </v>
          </cell>
          <cell r="J40">
            <v>1993000489</v>
          </cell>
          <cell r="K40" t="str">
            <v>ARAFIK</v>
          </cell>
          <cell r="L40" t="str">
            <v>RFK</v>
          </cell>
          <cell r="M40">
            <v>2015469476</v>
          </cell>
          <cell r="N40" t="str">
            <v>RHAZILUN MARSYAHID BADU</v>
          </cell>
          <cell r="O40" t="str">
            <v>RMB</v>
          </cell>
          <cell r="P40" t="str">
            <v>idmTyp0@kpg.indomaret.co.id</v>
          </cell>
          <cell r="Q40" t="str">
            <v>KAB. TIMOR TENGAH UTARA</v>
          </cell>
          <cell r="R40" t="str">
            <v>SDS</v>
          </cell>
        </row>
        <row r="41">
          <cell r="D41" t="str">
            <v>TZ3S</v>
          </cell>
          <cell r="E41" t="str">
            <v>POLLO AMSEL</v>
          </cell>
          <cell r="F41" t="str">
            <v>KUPANG</v>
          </cell>
          <cell r="G41" t="str">
            <v>R</v>
          </cell>
          <cell r="H41">
            <v>45832</v>
          </cell>
          <cell r="I41" t="str">
            <v xml:space="preserve">STANDARD </v>
          </cell>
          <cell r="J41">
            <v>1993000489</v>
          </cell>
          <cell r="K41" t="str">
            <v>ARAFIK</v>
          </cell>
          <cell r="L41" t="str">
            <v>RFK</v>
          </cell>
          <cell r="M41">
            <v>2015469476</v>
          </cell>
          <cell r="N41" t="str">
            <v>RHAZILUN MARSYAHID BADU</v>
          </cell>
          <cell r="O41" t="str">
            <v>RMB</v>
          </cell>
          <cell r="P41" t="str">
            <v>idmTZ3S@kpg.indomaret.co.id</v>
          </cell>
          <cell r="Q41" t="str">
            <v>KAB. TIMUR TENGAH SELATAN</v>
          </cell>
          <cell r="R41" t="str">
            <v>SDS</v>
          </cell>
        </row>
        <row r="42">
          <cell r="D42" t="str">
            <v>T0UB</v>
          </cell>
          <cell r="E42" t="str">
            <v>PAHLAWAN ALAK</v>
          </cell>
          <cell r="F42" t="str">
            <v>KUPANG</v>
          </cell>
          <cell r="G42" t="str">
            <v>R</v>
          </cell>
          <cell r="H42">
            <v>45041</v>
          </cell>
          <cell r="I42" t="str">
            <v xml:space="preserve">STANDARD </v>
          </cell>
          <cell r="J42">
            <v>1993000489</v>
          </cell>
          <cell r="K42" t="str">
            <v>ARAFIK</v>
          </cell>
          <cell r="L42" t="str">
            <v>RFK</v>
          </cell>
          <cell r="M42">
            <v>2004003122</v>
          </cell>
          <cell r="N42" t="str">
            <v>SIGIT YULIANTO</v>
          </cell>
          <cell r="O42" t="str">
            <v>SGY</v>
          </cell>
          <cell r="P42" t="str">
            <v>idmT0UB@kpg.indomaret.co.id</v>
          </cell>
          <cell r="Q42" t="str">
            <v>KOD. KUPANG</v>
          </cell>
          <cell r="R42" t="str">
            <v>SDS</v>
          </cell>
        </row>
        <row r="43">
          <cell r="D43" t="str">
            <v>T2WX</v>
          </cell>
          <cell r="E43" t="str">
            <v>AMABI TOFA MAULAFA</v>
          </cell>
          <cell r="F43" t="str">
            <v>KUPANG</v>
          </cell>
          <cell r="G43" t="str">
            <v>R</v>
          </cell>
          <cell r="H43">
            <v>44802</v>
          </cell>
          <cell r="I43" t="str">
            <v xml:space="preserve">STANDARD </v>
          </cell>
          <cell r="J43">
            <v>1993000489</v>
          </cell>
          <cell r="K43" t="str">
            <v>ARAFIK</v>
          </cell>
          <cell r="L43" t="str">
            <v>RFK</v>
          </cell>
          <cell r="M43">
            <v>2004003122</v>
          </cell>
          <cell r="N43" t="str">
            <v>SIGIT YULIANTO</v>
          </cell>
          <cell r="O43" t="str">
            <v>SGY</v>
          </cell>
          <cell r="P43" t="str">
            <v>idmT2WX@kpg.indomaret.co.id</v>
          </cell>
          <cell r="Q43" t="str">
            <v>KOD. KUPANG</v>
          </cell>
          <cell r="R43" t="str">
            <v>SDS</v>
          </cell>
        </row>
        <row r="44">
          <cell r="D44" t="str">
            <v>T3AX</v>
          </cell>
          <cell r="E44" t="str">
            <v>OELATA RAYA</v>
          </cell>
          <cell r="F44" t="str">
            <v>KUPANG</v>
          </cell>
          <cell r="G44" t="str">
            <v>R</v>
          </cell>
          <cell r="H44">
            <v>44860</v>
          </cell>
          <cell r="I44" t="str">
            <v xml:space="preserve">STANDARD </v>
          </cell>
          <cell r="J44">
            <v>1993000489</v>
          </cell>
          <cell r="K44" t="str">
            <v>ARAFIK</v>
          </cell>
          <cell r="L44" t="str">
            <v>RFK</v>
          </cell>
          <cell r="M44">
            <v>2004003122</v>
          </cell>
          <cell r="N44" t="str">
            <v>SIGIT YULIANTO</v>
          </cell>
          <cell r="O44" t="str">
            <v>SGY</v>
          </cell>
          <cell r="P44" t="str">
            <v>idmT3AX@kpg.indomaret.co.id</v>
          </cell>
          <cell r="Q44" t="str">
            <v>KOD. KUPANG</v>
          </cell>
          <cell r="R44" t="str">
            <v>SDS</v>
          </cell>
        </row>
        <row r="45">
          <cell r="D45" t="str">
            <v>T47C</v>
          </cell>
          <cell r="E45" t="str">
            <v>HR KOROH SIKUMANA</v>
          </cell>
          <cell r="F45" t="str">
            <v>KUPANG</v>
          </cell>
          <cell r="G45" t="str">
            <v>R</v>
          </cell>
          <cell r="H45">
            <v>45016</v>
          </cell>
          <cell r="I45" t="str">
            <v xml:space="preserve">STANDARD </v>
          </cell>
          <cell r="J45">
            <v>1993000489</v>
          </cell>
          <cell r="K45" t="str">
            <v>ARAFIK</v>
          </cell>
          <cell r="L45" t="str">
            <v>RFK</v>
          </cell>
          <cell r="M45">
            <v>2004003122</v>
          </cell>
          <cell r="N45" t="str">
            <v>SIGIT YULIANTO</v>
          </cell>
          <cell r="O45" t="str">
            <v>SGY</v>
          </cell>
          <cell r="P45" t="str">
            <v>idmT47C@kpg.indomaret.co.id</v>
          </cell>
          <cell r="Q45" t="str">
            <v>KOD. KUPANG</v>
          </cell>
          <cell r="R45" t="str">
            <v>SDS</v>
          </cell>
        </row>
        <row r="46">
          <cell r="D46" t="str">
            <v>T79P</v>
          </cell>
          <cell r="E46" t="str">
            <v>HR KOROH BELLO</v>
          </cell>
          <cell r="F46" t="str">
            <v>KUPANG</v>
          </cell>
          <cell r="G46" t="str">
            <v>R</v>
          </cell>
          <cell r="H46">
            <v>45137</v>
          </cell>
          <cell r="I46" t="str">
            <v xml:space="preserve">STANDARD </v>
          </cell>
          <cell r="J46">
            <v>1993000489</v>
          </cell>
          <cell r="K46" t="str">
            <v>ARAFIK</v>
          </cell>
          <cell r="L46" t="str">
            <v>RFK</v>
          </cell>
          <cell r="M46">
            <v>2004003122</v>
          </cell>
          <cell r="N46" t="str">
            <v>SIGIT YULIANTO</v>
          </cell>
          <cell r="O46" t="str">
            <v>SGY</v>
          </cell>
          <cell r="P46" t="str">
            <v>idmT79P@kpg.indomaret.co.id</v>
          </cell>
          <cell r="Q46" t="str">
            <v>KOD. KUPANG</v>
          </cell>
          <cell r="R46" t="str">
            <v>SDS</v>
          </cell>
        </row>
        <row r="47">
          <cell r="D47" t="str">
            <v>TCGA</v>
          </cell>
          <cell r="E47" t="str">
            <v>FETOR FUNAY MAULAFA</v>
          </cell>
          <cell r="F47" t="str">
            <v>KUPANG</v>
          </cell>
          <cell r="G47" t="str">
            <v>R</v>
          </cell>
          <cell r="H47">
            <v>45119</v>
          </cell>
          <cell r="I47" t="str">
            <v xml:space="preserve">STANDARD </v>
          </cell>
          <cell r="J47">
            <v>1993000489</v>
          </cell>
          <cell r="K47" t="str">
            <v>ARAFIK</v>
          </cell>
          <cell r="L47" t="str">
            <v>RFK</v>
          </cell>
          <cell r="M47">
            <v>2004003122</v>
          </cell>
          <cell r="N47" t="str">
            <v>SIGIT YULIANTO</v>
          </cell>
          <cell r="O47" t="str">
            <v>SGY</v>
          </cell>
          <cell r="P47" t="str">
            <v>idmTCGA@kpg.indomaret.co.id</v>
          </cell>
          <cell r="Q47" t="str">
            <v>KOD. KUPANG</v>
          </cell>
          <cell r="R47" t="str">
            <v>SDS</v>
          </cell>
        </row>
        <row r="48">
          <cell r="D48" t="str">
            <v>TCWJ</v>
          </cell>
          <cell r="E48" t="str">
            <v>LINGKAR LUAR 40</v>
          </cell>
          <cell r="F48" t="str">
            <v>KUPANG</v>
          </cell>
          <cell r="G48" t="str">
            <v>R</v>
          </cell>
          <cell r="H48">
            <v>45624</v>
          </cell>
          <cell r="I48" t="str">
            <v>STANDARD NEW</v>
          </cell>
          <cell r="J48">
            <v>1993000489</v>
          </cell>
          <cell r="K48" t="str">
            <v>ARAFIK</v>
          </cell>
          <cell r="L48" t="str">
            <v>RFK</v>
          </cell>
          <cell r="M48">
            <v>2004003122</v>
          </cell>
          <cell r="N48" t="str">
            <v>SIGIT YULIANTO</v>
          </cell>
          <cell r="O48" t="str">
            <v>SGY</v>
          </cell>
          <cell r="P48" t="str">
            <v>idmTCWJ@kpg.indomaret.co.id</v>
          </cell>
          <cell r="Q48" t="str">
            <v>KOD. KUPANG</v>
          </cell>
          <cell r="R48" t="str">
            <v>SDN</v>
          </cell>
        </row>
        <row r="49">
          <cell r="D49" t="str">
            <v>TE1Y</v>
          </cell>
          <cell r="E49" t="str">
            <v>TAEBENU NAIMATA</v>
          </cell>
          <cell r="F49" t="str">
            <v>KUPANG</v>
          </cell>
          <cell r="G49" t="str">
            <v>R</v>
          </cell>
          <cell r="H49">
            <v>44865</v>
          </cell>
          <cell r="I49" t="str">
            <v xml:space="preserve">STANDARD </v>
          </cell>
          <cell r="J49">
            <v>1993000489</v>
          </cell>
          <cell r="K49" t="str">
            <v>ARAFIK</v>
          </cell>
          <cell r="L49" t="str">
            <v>RFK</v>
          </cell>
          <cell r="M49">
            <v>2004003122</v>
          </cell>
          <cell r="N49" t="str">
            <v>SIGIT YULIANTO</v>
          </cell>
          <cell r="O49" t="str">
            <v>SGY</v>
          </cell>
          <cell r="P49" t="str">
            <v>idmTE1Y@kpg.indomaret.co.id</v>
          </cell>
          <cell r="Q49" t="str">
            <v>KOD. KUPANG</v>
          </cell>
          <cell r="R49" t="str">
            <v>SDS</v>
          </cell>
        </row>
        <row r="50">
          <cell r="D50" t="str">
            <v>TEYX</v>
          </cell>
          <cell r="E50" t="str">
            <v>YOS SUDARSO NAMOSAIN</v>
          </cell>
          <cell r="F50" t="str">
            <v>KUPANG</v>
          </cell>
          <cell r="G50" t="str">
            <v>R</v>
          </cell>
          <cell r="H50">
            <v>44798</v>
          </cell>
          <cell r="I50" t="str">
            <v xml:space="preserve">STANDARD </v>
          </cell>
          <cell r="J50">
            <v>1993000489</v>
          </cell>
          <cell r="K50" t="str">
            <v>ARAFIK</v>
          </cell>
          <cell r="L50" t="str">
            <v>RFK</v>
          </cell>
          <cell r="M50">
            <v>2004003122</v>
          </cell>
          <cell r="N50" t="str">
            <v>SIGIT YULIANTO</v>
          </cell>
          <cell r="O50" t="str">
            <v>SGY</v>
          </cell>
          <cell r="P50" t="str">
            <v>idmTEYX@kpg.indomaret.co.id</v>
          </cell>
          <cell r="Q50" t="str">
            <v>KOD. KUPANG</v>
          </cell>
          <cell r="R50" t="str">
            <v>SDS</v>
          </cell>
        </row>
        <row r="51">
          <cell r="D51" t="str">
            <v>TG5D</v>
          </cell>
          <cell r="E51" t="str">
            <v>PENKASE NO. 28 ABC</v>
          </cell>
          <cell r="F51" t="str">
            <v>KUPANG</v>
          </cell>
          <cell r="G51" t="str">
            <v>R</v>
          </cell>
          <cell r="H51">
            <v>44926</v>
          </cell>
          <cell r="I51" t="str">
            <v xml:space="preserve">STANDARD </v>
          </cell>
          <cell r="J51">
            <v>1993000489</v>
          </cell>
          <cell r="K51" t="str">
            <v>ARAFIK</v>
          </cell>
          <cell r="L51" t="str">
            <v>RFK</v>
          </cell>
          <cell r="M51">
            <v>2004003122</v>
          </cell>
          <cell r="N51" t="str">
            <v>SIGIT YULIANTO</v>
          </cell>
          <cell r="O51" t="str">
            <v>SGY</v>
          </cell>
          <cell r="P51" t="str">
            <v>idmTG5D@kpg.indomaret.co.id</v>
          </cell>
          <cell r="Q51" t="str">
            <v>KOD. KUPANG</v>
          </cell>
          <cell r="R51" t="str">
            <v>SDS</v>
          </cell>
        </row>
        <row r="52">
          <cell r="D52" t="str">
            <v>TG6T</v>
          </cell>
          <cell r="E52" t="str">
            <v>HR KOROH OEPURA</v>
          </cell>
          <cell r="F52" t="str">
            <v>KUPANG</v>
          </cell>
          <cell r="G52" t="str">
            <v>R</v>
          </cell>
          <cell r="H52">
            <v>44841</v>
          </cell>
          <cell r="I52" t="str">
            <v>STANDARD NEW</v>
          </cell>
          <cell r="J52">
            <v>1993000489</v>
          </cell>
          <cell r="K52" t="str">
            <v>ARAFIK</v>
          </cell>
          <cell r="L52" t="str">
            <v>RFK</v>
          </cell>
          <cell r="M52">
            <v>2004003122</v>
          </cell>
          <cell r="N52" t="str">
            <v>SIGIT YULIANTO</v>
          </cell>
          <cell r="O52" t="str">
            <v>SGY</v>
          </cell>
          <cell r="P52" t="str">
            <v>idmTG6T@kpg.indomaret.co.id</v>
          </cell>
          <cell r="Q52" t="str">
            <v>KOD. KUPANG</v>
          </cell>
          <cell r="R52" t="str">
            <v>SDN</v>
          </cell>
        </row>
        <row r="53">
          <cell r="D53" t="str">
            <v>TN1H</v>
          </cell>
          <cell r="E53" t="str">
            <v>HR KOROH BAUN</v>
          </cell>
          <cell r="F53" t="str">
            <v>KUPANG</v>
          </cell>
          <cell r="G53" t="str">
            <v>R</v>
          </cell>
          <cell r="H53">
            <v>45906</v>
          </cell>
          <cell r="I53" t="str">
            <v xml:space="preserve">STANDARD </v>
          </cell>
          <cell r="J53">
            <v>1993000489</v>
          </cell>
          <cell r="K53" t="str">
            <v>ARAFIK</v>
          </cell>
          <cell r="L53" t="str">
            <v>RFK</v>
          </cell>
          <cell r="M53">
            <v>2004003122</v>
          </cell>
          <cell r="N53" t="str">
            <v>SIGIT YULIANTO</v>
          </cell>
          <cell r="O53" t="str">
            <v>SGY</v>
          </cell>
          <cell r="P53" t="str">
            <v>idmTN1H@kpg.indomaret.co.id</v>
          </cell>
          <cell r="Q53" t="str">
            <v>KAB. KUPANG</v>
          </cell>
          <cell r="R53" t="str">
            <v>SDS</v>
          </cell>
        </row>
        <row r="54">
          <cell r="D54" t="str">
            <v>TS7P</v>
          </cell>
          <cell r="E54" t="str">
            <v>PAHLAWAN NUNBAUN SABU</v>
          </cell>
          <cell r="F54" t="str">
            <v>KUPANG</v>
          </cell>
          <cell r="G54" t="str">
            <v>R</v>
          </cell>
          <cell r="H54">
            <v>44834</v>
          </cell>
          <cell r="I54" t="str">
            <v>STANDARD NEW</v>
          </cell>
          <cell r="J54">
            <v>1993000489</v>
          </cell>
          <cell r="K54" t="str">
            <v>ARAFIK</v>
          </cell>
          <cell r="L54" t="str">
            <v>RFK</v>
          </cell>
          <cell r="M54">
            <v>2004003122</v>
          </cell>
          <cell r="N54" t="str">
            <v>SIGIT YULIANTO</v>
          </cell>
          <cell r="O54" t="str">
            <v>SGY</v>
          </cell>
          <cell r="P54" t="str">
            <v>idmTS7P@kpg.indomaret.co.id</v>
          </cell>
          <cell r="Q54" t="str">
            <v>KOD. KUPANG</v>
          </cell>
          <cell r="R54" t="str">
            <v>SDN</v>
          </cell>
        </row>
        <row r="55">
          <cell r="D55" t="str">
            <v>TVJX</v>
          </cell>
          <cell r="E55" t="str">
            <v>WJ LALAMENTIK OEBUFU</v>
          </cell>
          <cell r="F55" t="str">
            <v>KUPANG</v>
          </cell>
          <cell r="G55" t="str">
            <v>R</v>
          </cell>
          <cell r="H55">
            <v>44865</v>
          </cell>
          <cell r="I55" t="str">
            <v>STANDARD NEW</v>
          </cell>
          <cell r="J55">
            <v>1993000489</v>
          </cell>
          <cell r="K55" t="str">
            <v>ARAFIK</v>
          </cell>
          <cell r="L55" t="str">
            <v>RFK</v>
          </cell>
          <cell r="M55">
            <v>2004003122</v>
          </cell>
          <cell r="N55" t="str">
            <v>SIGIT YULIANTO</v>
          </cell>
          <cell r="O55" t="str">
            <v>SGY</v>
          </cell>
          <cell r="P55" t="str">
            <v>idmTVJX@kpg.indomaret.co.id</v>
          </cell>
          <cell r="Q55" t="str">
            <v>KOD. KUPANG</v>
          </cell>
          <cell r="R55" t="str">
            <v>SDN</v>
          </cell>
        </row>
        <row r="56">
          <cell r="D56" t="str">
            <v>TZM4</v>
          </cell>
          <cell r="E56" t="str">
            <v>FETOR FUNAY KOLHUA</v>
          </cell>
          <cell r="F56" t="str">
            <v>KUPANG</v>
          </cell>
          <cell r="G56" t="str">
            <v>R</v>
          </cell>
          <cell r="H56">
            <v>44823</v>
          </cell>
          <cell r="I56" t="str">
            <v>STANDARD NEW</v>
          </cell>
          <cell r="J56">
            <v>1993000489</v>
          </cell>
          <cell r="K56" t="str">
            <v>ARAFIK</v>
          </cell>
          <cell r="L56" t="str">
            <v>RFK</v>
          </cell>
          <cell r="M56">
            <v>2004003122</v>
          </cell>
          <cell r="N56" t="str">
            <v>SIGIT YULIANTO</v>
          </cell>
          <cell r="O56" t="str">
            <v>SGY</v>
          </cell>
          <cell r="P56" t="str">
            <v>idmTZM4@kpg.indomaret.co.id</v>
          </cell>
          <cell r="Q56" t="str">
            <v>KOD. KUPANG</v>
          </cell>
          <cell r="R56" t="str">
            <v>SDN</v>
          </cell>
        </row>
        <row r="57">
          <cell r="D57" t="str">
            <v>T8KQ</v>
          </cell>
          <cell r="E57" t="str">
            <v>DEWI SARTIKA</v>
          </cell>
          <cell r="F57" t="str">
            <v>KUPANG</v>
          </cell>
          <cell r="G57" t="str">
            <v>R</v>
          </cell>
          <cell r="H57">
            <v>46183</v>
          </cell>
          <cell r="I57" t="str">
            <v>STANDARD NEW</v>
          </cell>
          <cell r="J57">
            <v>1993000489</v>
          </cell>
          <cell r="K57" t="str">
            <v>ARAFIK</v>
          </cell>
          <cell r="L57" t="str">
            <v>RFK</v>
          </cell>
          <cell r="M57">
            <v>2007003762</v>
          </cell>
          <cell r="N57" t="str">
            <v>DAVID DWI SAMPURNO</v>
          </cell>
          <cell r="O57" t="str">
            <v>DDS</v>
          </cell>
          <cell r="P57" t="str">
            <v>idmT8KQ@kpg.indomaret.co.id</v>
          </cell>
          <cell r="Q57" t="str">
            <v>KAB. ALOR</v>
          </cell>
          <cell r="R57" t="str">
            <v>SDN</v>
          </cell>
        </row>
        <row r="58">
          <cell r="D58" t="str">
            <v>T4EU</v>
          </cell>
          <cell r="E58" t="str">
            <v>AHMAD YANI</v>
          </cell>
          <cell r="F58" t="str">
            <v>SUMBA</v>
          </cell>
          <cell r="G58" t="str">
            <v>R</v>
          </cell>
          <cell r="H58">
            <v>46022</v>
          </cell>
          <cell r="I58" t="str">
            <v>STANDARD NEW</v>
          </cell>
          <cell r="J58">
            <v>2010027958</v>
          </cell>
          <cell r="K58" t="str">
            <v>JULIMAN LASE</v>
          </cell>
          <cell r="L58" t="str">
            <v>JLE</v>
          </cell>
          <cell r="M58">
            <v>2015469470</v>
          </cell>
          <cell r="N58" t="str">
            <v>ENGELBERTH RUDOLF TANESIB</v>
          </cell>
          <cell r="O58" t="str">
            <v>EGR</v>
          </cell>
          <cell r="P58" t="str">
            <v>idmT4EU@kpg.indomaret.co.id</v>
          </cell>
          <cell r="Q58" t="str">
            <v>KAB. SUMBA TIMUR</v>
          </cell>
          <cell r="R58" t="str">
            <v>SDN</v>
          </cell>
        </row>
        <row r="59">
          <cell r="D59" t="str">
            <v>T7A7</v>
          </cell>
          <cell r="E59" t="str">
            <v>ADAM MALIK</v>
          </cell>
          <cell r="F59" t="str">
            <v>SUMBA</v>
          </cell>
          <cell r="G59" t="str">
            <v>R</v>
          </cell>
          <cell r="H59">
            <v>45443</v>
          </cell>
          <cell r="I59" t="str">
            <v>STANDARD NEW</v>
          </cell>
          <cell r="J59">
            <v>2010027958</v>
          </cell>
          <cell r="K59" t="str">
            <v>JULIMAN LASE</v>
          </cell>
          <cell r="L59" t="str">
            <v>JLE</v>
          </cell>
          <cell r="M59">
            <v>2015469470</v>
          </cell>
          <cell r="N59" t="str">
            <v>ENGELBERTH RUDOLF TANESIB</v>
          </cell>
          <cell r="O59" t="str">
            <v>EGR</v>
          </cell>
          <cell r="P59" t="str">
            <v>idmT7A7@kpg.indomaret.co.id</v>
          </cell>
          <cell r="Q59" t="str">
            <v>KAB. SUMBA TIMUR</v>
          </cell>
          <cell r="R59" t="str">
            <v>SDN</v>
          </cell>
        </row>
        <row r="60">
          <cell r="D60" t="str">
            <v>T7IC</v>
          </cell>
          <cell r="E60" t="str">
            <v>S PARMAN SUMBA</v>
          </cell>
          <cell r="F60" t="str">
            <v>SUMBA</v>
          </cell>
          <cell r="G60" t="str">
            <v>R</v>
          </cell>
          <cell r="H60">
            <v>46168</v>
          </cell>
          <cell r="I60" t="str">
            <v>STANDARD NEW</v>
          </cell>
          <cell r="J60">
            <v>2010027958</v>
          </cell>
          <cell r="K60" t="str">
            <v>JULIMAN LASE</v>
          </cell>
          <cell r="L60" t="str">
            <v>JLE</v>
          </cell>
          <cell r="M60">
            <v>2015469470</v>
          </cell>
          <cell r="N60" t="str">
            <v>ENGELBERTH RUDOLF TANESIB</v>
          </cell>
          <cell r="O60" t="str">
            <v>EGR</v>
          </cell>
          <cell r="P60" t="str">
            <v>idmT7IC@kpg.indomaret.co.id</v>
          </cell>
          <cell r="Q60" t="str">
            <v>KAB. SUMBA TIMUR</v>
          </cell>
          <cell r="R60" t="str">
            <v>SDN</v>
          </cell>
        </row>
        <row r="61">
          <cell r="D61" t="str">
            <v>TB2N</v>
          </cell>
          <cell r="E61" t="str">
            <v>YOS SUDARSO</v>
          </cell>
          <cell r="F61" t="str">
            <v>SUMBA</v>
          </cell>
          <cell r="G61" t="str">
            <v>R</v>
          </cell>
          <cell r="H61">
            <v>45738</v>
          </cell>
          <cell r="I61" t="str">
            <v>STANDARD NEW</v>
          </cell>
          <cell r="J61">
            <v>2010027958</v>
          </cell>
          <cell r="K61" t="str">
            <v>JULIMAN LASE</v>
          </cell>
          <cell r="L61" t="str">
            <v>JLE</v>
          </cell>
          <cell r="M61">
            <v>2015469470</v>
          </cell>
          <cell r="N61" t="str">
            <v>ENGELBERTH RUDOLF TANESIB</v>
          </cell>
          <cell r="O61" t="str">
            <v>EGR</v>
          </cell>
          <cell r="P61" t="str">
            <v>idmTB2N@kpg.indomaret.co.id</v>
          </cell>
          <cell r="Q61" t="str">
            <v>KAB. SUMBA TIMUR</v>
          </cell>
          <cell r="R61" t="str">
            <v>SDN</v>
          </cell>
        </row>
        <row r="62">
          <cell r="D62" t="str">
            <v>TMO0</v>
          </cell>
          <cell r="E62" t="str">
            <v>MATAWAI AMAHU</v>
          </cell>
          <cell r="F62" t="str">
            <v>SUMBA</v>
          </cell>
          <cell r="G62" t="str">
            <v>R</v>
          </cell>
          <cell r="H62">
            <v>45636</v>
          </cell>
          <cell r="I62" t="str">
            <v>STANDARD NEW</v>
          </cell>
          <cell r="J62">
            <v>2010027958</v>
          </cell>
          <cell r="K62" t="str">
            <v>JULIMAN LASE</v>
          </cell>
          <cell r="L62" t="str">
            <v>JLE</v>
          </cell>
          <cell r="M62">
            <v>2015469470</v>
          </cell>
          <cell r="N62" t="str">
            <v>ENGELBERTH RUDOLF TANESIB</v>
          </cell>
          <cell r="O62" t="str">
            <v>EGR</v>
          </cell>
          <cell r="P62" t="str">
            <v>idmTMO0@kpg.indomaret.co.id</v>
          </cell>
          <cell r="Q62" t="str">
            <v>KAB. SUMBA TIMUR</v>
          </cell>
          <cell r="R62" t="str">
            <v>SDN</v>
          </cell>
        </row>
        <row r="63">
          <cell r="D63" t="str">
            <v>TQJK</v>
          </cell>
          <cell r="E63" t="str">
            <v>D I PANJAITAN MATAWAI</v>
          </cell>
          <cell r="F63" t="str">
            <v>SUMBA</v>
          </cell>
          <cell r="G63" t="str">
            <v>R</v>
          </cell>
          <cell r="H63">
            <v>45676</v>
          </cell>
          <cell r="I63" t="str">
            <v>STANDARD NEW</v>
          </cell>
          <cell r="J63">
            <v>2010027958</v>
          </cell>
          <cell r="K63" t="str">
            <v>JULIMAN LASE</v>
          </cell>
          <cell r="L63" t="str">
            <v>JLE</v>
          </cell>
          <cell r="M63">
            <v>2015469470</v>
          </cell>
          <cell r="N63" t="str">
            <v>ENGELBERTH RUDOLF TANESIB</v>
          </cell>
          <cell r="O63" t="str">
            <v>EGR</v>
          </cell>
          <cell r="P63" t="str">
            <v>idmTQJK@kpg.indomaret.co.id</v>
          </cell>
          <cell r="Q63" t="str">
            <v>KAB. SUMBA TIMUR</v>
          </cell>
          <cell r="R63" t="str">
            <v>SDN</v>
          </cell>
        </row>
        <row r="64">
          <cell r="D64" t="str">
            <v>TUXZ</v>
          </cell>
          <cell r="E64" t="str">
            <v>PRAILIU SUMBA</v>
          </cell>
          <cell r="F64" t="str">
            <v>SUMBA</v>
          </cell>
          <cell r="G64" t="str">
            <v>R</v>
          </cell>
          <cell r="H64">
            <v>45800</v>
          </cell>
          <cell r="I64" t="str">
            <v>STANDARD NEW</v>
          </cell>
          <cell r="J64">
            <v>2010027958</v>
          </cell>
          <cell r="K64" t="str">
            <v>JULIMAN LASE</v>
          </cell>
          <cell r="L64" t="str">
            <v>JLE</v>
          </cell>
          <cell r="M64">
            <v>2015469470</v>
          </cell>
          <cell r="N64" t="str">
            <v>ENGELBERTH RUDOLF TANESIB</v>
          </cell>
          <cell r="O64" t="str">
            <v>EGR</v>
          </cell>
          <cell r="P64" t="str">
            <v>idmTUXZ@kpg.indomaret.co.id</v>
          </cell>
          <cell r="Q64" t="str">
            <v>KAB. SUMBA TIMUR</v>
          </cell>
          <cell r="R64" t="str">
            <v>SDN</v>
          </cell>
        </row>
        <row r="65">
          <cell r="D65" t="str">
            <v>TXQN</v>
          </cell>
          <cell r="E65" t="str">
            <v>RAYA ANAKALANG</v>
          </cell>
          <cell r="F65" t="str">
            <v>SUMBA</v>
          </cell>
          <cell r="G65" t="str">
            <v>R</v>
          </cell>
          <cell r="H65">
            <v>45654</v>
          </cell>
          <cell r="I65" t="str">
            <v>STANDARD NEW</v>
          </cell>
          <cell r="J65">
            <v>2010027958</v>
          </cell>
          <cell r="K65" t="str">
            <v>JULIMAN LASE</v>
          </cell>
          <cell r="L65" t="str">
            <v>JLE</v>
          </cell>
          <cell r="M65">
            <v>2015469470</v>
          </cell>
          <cell r="N65" t="str">
            <v>ENGELBERTH RUDOLF TANESIB</v>
          </cell>
          <cell r="O65" t="str">
            <v>EGR</v>
          </cell>
          <cell r="P65" t="str">
            <v>idmTXQN@kpg.indomaret.co.id</v>
          </cell>
          <cell r="Q65" t="str">
            <v>KAB. SUMBA TENGAH</v>
          </cell>
          <cell r="R65" t="str">
            <v>SDN</v>
          </cell>
        </row>
        <row r="66">
          <cell r="D66" t="str">
            <v>T0KG</v>
          </cell>
          <cell r="E66" t="str">
            <v>TIMOR RAYA KM 14</v>
          </cell>
          <cell r="F66" t="str">
            <v>KUPANG</v>
          </cell>
          <cell r="G66" t="str">
            <v>R</v>
          </cell>
          <cell r="H66">
            <v>44985</v>
          </cell>
          <cell r="I66" t="str">
            <v xml:space="preserve">STANDARD </v>
          </cell>
          <cell r="J66">
            <v>2010027958</v>
          </cell>
          <cell r="K66" t="str">
            <v>JULIMAN LASE</v>
          </cell>
          <cell r="L66" t="str">
            <v>JLE</v>
          </cell>
          <cell r="M66">
            <v>2007003964</v>
          </cell>
          <cell r="N66" t="str">
            <v>KOES HARIYANTO WIBISONO</v>
          </cell>
          <cell r="O66" t="str">
            <v>KHO</v>
          </cell>
          <cell r="P66" t="str">
            <v>idmT0KG@kpg.indomaret.co.id</v>
          </cell>
          <cell r="Q66" t="str">
            <v>KAB. KUPANG</v>
          </cell>
          <cell r="R66" t="str">
            <v>SDS</v>
          </cell>
        </row>
        <row r="67">
          <cell r="D67" t="str">
            <v>T0VA</v>
          </cell>
          <cell r="E67" t="str">
            <v>TIMOR RAYA KM 36</v>
          </cell>
          <cell r="F67" t="str">
            <v>KUPANG</v>
          </cell>
          <cell r="G67" t="str">
            <v>R</v>
          </cell>
          <cell r="H67">
            <v>45065</v>
          </cell>
          <cell r="I67" t="str">
            <v xml:space="preserve">STANDARD </v>
          </cell>
          <cell r="J67">
            <v>2010027958</v>
          </cell>
          <cell r="K67" t="str">
            <v>JULIMAN LASE</v>
          </cell>
          <cell r="L67" t="str">
            <v>JLE</v>
          </cell>
          <cell r="M67">
            <v>2007003964</v>
          </cell>
          <cell r="N67" t="str">
            <v>KOES HARIYANTO WIBISONO</v>
          </cell>
          <cell r="O67" t="str">
            <v>KHO</v>
          </cell>
          <cell r="P67" t="str">
            <v>idmT0VA@kpg.indomaret.co.id</v>
          </cell>
          <cell r="Q67" t="str">
            <v>KAB. KUPANG</v>
          </cell>
          <cell r="R67" t="str">
            <v>SDS</v>
          </cell>
        </row>
        <row r="68">
          <cell r="D68" t="str">
            <v>T1WS</v>
          </cell>
          <cell r="E68" t="str">
            <v>A. YANI MERDEKA</v>
          </cell>
          <cell r="F68" t="str">
            <v>KUPANG</v>
          </cell>
          <cell r="G68" t="str">
            <v>R</v>
          </cell>
          <cell r="H68">
            <v>44804</v>
          </cell>
          <cell r="I68" t="str">
            <v>STANDARD NEW</v>
          </cell>
          <cell r="J68">
            <v>2010027958</v>
          </cell>
          <cell r="K68" t="str">
            <v>JULIMAN LASE</v>
          </cell>
          <cell r="L68" t="str">
            <v>JLE</v>
          </cell>
          <cell r="M68">
            <v>2007003964</v>
          </cell>
          <cell r="N68" t="str">
            <v>KOES HARIYANTO WIBISONO</v>
          </cell>
          <cell r="O68" t="str">
            <v>KHO</v>
          </cell>
          <cell r="P68" t="str">
            <v>idmT1WS@kpg.indomaret.co.id</v>
          </cell>
          <cell r="Q68" t="str">
            <v>KOD. KUPANG</v>
          </cell>
          <cell r="R68" t="str">
            <v>SDN</v>
          </cell>
        </row>
        <row r="69">
          <cell r="D69" t="str">
            <v>T47S</v>
          </cell>
          <cell r="E69" t="str">
            <v>TIMOR RAYA KM 25</v>
          </cell>
          <cell r="F69" t="str">
            <v>KUPANG</v>
          </cell>
          <cell r="G69" t="str">
            <v>R</v>
          </cell>
          <cell r="H69">
            <v>45012</v>
          </cell>
          <cell r="I69" t="str">
            <v xml:space="preserve">STANDARD </v>
          </cell>
          <cell r="J69">
            <v>2010027958</v>
          </cell>
          <cell r="K69" t="str">
            <v>JULIMAN LASE</v>
          </cell>
          <cell r="L69" t="str">
            <v>JLE</v>
          </cell>
          <cell r="M69">
            <v>2007003964</v>
          </cell>
          <cell r="N69" t="str">
            <v>KOES HARIYANTO WIBISONO</v>
          </cell>
          <cell r="O69" t="str">
            <v>KHO</v>
          </cell>
          <cell r="P69" t="str">
            <v>idmT47S@kpg.indomaret.co.id</v>
          </cell>
          <cell r="Q69" t="str">
            <v>KAB. KUPANG</v>
          </cell>
          <cell r="R69" t="str">
            <v>SDS</v>
          </cell>
        </row>
        <row r="70">
          <cell r="D70" t="str">
            <v>T53I</v>
          </cell>
          <cell r="E70" t="str">
            <v>TIMOR RAYA OESAPA KM 8</v>
          </cell>
          <cell r="F70" t="str">
            <v>KUPANG</v>
          </cell>
          <cell r="G70" t="str">
            <v>R</v>
          </cell>
          <cell r="H70">
            <v>44818</v>
          </cell>
          <cell r="I70" t="str">
            <v xml:space="preserve">STANDARD </v>
          </cell>
          <cell r="J70">
            <v>2010027958</v>
          </cell>
          <cell r="K70" t="str">
            <v>JULIMAN LASE</v>
          </cell>
          <cell r="L70" t="str">
            <v>JLE</v>
          </cell>
          <cell r="M70">
            <v>2007003964</v>
          </cell>
          <cell r="N70" t="str">
            <v>KOES HARIYANTO WIBISONO</v>
          </cell>
          <cell r="O70" t="str">
            <v>KHO</v>
          </cell>
          <cell r="P70" t="str">
            <v>idmT53I@kpg.indomaret.co.id</v>
          </cell>
          <cell r="Q70" t="str">
            <v>KOD. KUPANG</v>
          </cell>
          <cell r="R70" t="str">
            <v>SDS</v>
          </cell>
        </row>
        <row r="71">
          <cell r="D71" t="str">
            <v>T9G3</v>
          </cell>
          <cell r="E71" t="str">
            <v xml:space="preserve">SILIWANGI OESAPA </v>
          </cell>
          <cell r="F71" t="str">
            <v>KUPANG</v>
          </cell>
          <cell r="G71" t="str">
            <v>R</v>
          </cell>
          <cell r="H71">
            <v>44926</v>
          </cell>
          <cell r="I71" t="str">
            <v xml:space="preserve">STANDARD </v>
          </cell>
          <cell r="J71">
            <v>2010027958</v>
          </cell>
          <cell r="K71" t="str">
            <v>JULIMAN LASE</v>
          </cell>
          <cell r="L71" t="str">
            <v>JLE</v>
          </cell>
          <cell r="M71">
            <v>2007003964</v>
          </cell>
          <cell r="N71" t="str">
            <v>KOES HARIYANTO WIBISONO</v>
          </cell>
          <cell r="O71" t="str">
            <v>KHO</v>
          </cell>
          <cell r="P71" t="str">
            <v>idmT9G3@kpg.indomaret.co.id</v>
          </cell>
          <cell r="Q71" t="str">
            <v>KOD. KUPANG</v>
          </cell>
          <cell r="R71" t="str">
            <v>SDS</v>
          </cell>
        </row>
        <row r="72">
          <cell r="D72" t="str">
            <v>TEL7</v>
          </cell>
          <cell r="E72" t="str">
            <v>VETERAN NO. 11 CD</v>
          </cell>
          <cell r="F72" t="str">
            <v>KUPANG</v>
          </cell>
          <cell r="G72" t="str">
            <v>R</v>
          </cell>
          <cell r="H72">
            <v>44804</v>
          </cell>
          <cell r="I72" t="str">
            <v>STANDARD NEW</v>
          </cell>
          <cell r="J72">
            <v>2010027958</v>
          </cell>
          <cell r="K72" t="str">
            <v>JULIMAN LASE</v>
          </cell>
          <cell r="L72" t="str">
            <v>JLE</v>
          </cell>
          <cell r="M72">
            <v>2007003964</v>
          </cell>
          <cell r="N72" t="str">
            <v>KOES HARIYANTO WIBISONO</v>
          </cell>
          <cell r="O72" t="str">
            <v>KHO</v>
          </cell>
          <cell r="P72" t="str">
            <v>idmTEL7@kpg.indomaret.co.id</v>
          </cell>
          <cell r="Q72" t="str">
            <v>KOD. KUPANG</v>
          </cell>
          <cell r="R72" t="str">
            <v>SDN</v>
          </cell>
        </row>
        <row r="73">
          <cell r="D73" t="str">
            <v>TFMT</v>
          </cell>
          <cell r="E73" t="str">
            <v>RAYA MATANI</v>
          </cell>
          <cell r="F73" t="str">
            <v>KUPANG</v>
          </cell>
          <cell r="G73" t="str">
            <v>R</v>
          </cell>
          <cell r="H73">
            <v>45157</v>
          </cell>
          <cell r="I73" t="str">
            <v xml:space="preserve">STANDARD </v>
          </cell>
          <cell r="J73">
            <v>2010027958</v>
          </cell>
          <cell r="K73" t="str">
            <v>JULIMAN LASE</v>
          </cell>
          <cell r="L73" t="str">
            <v>JLE</v>
          </cell>
          <cell r="M73">
            <v>2007003964</v>
          </cell>
          <cell r="N73" t="str">
            <v>KOES HARIYANTO WIBISONO</v>
          </cell>
          <cell r="O73" t="str">
            <v>KHO</v>
          </cell>
          <cell r="P73" t="str">
            <v>idmTFMT@kpg.indomaret.co.id</v>
          </cell>
          <cell r="Q73" t="str">
            <v>KAB. KUPANG</v>
          </cell>
          <cell r="R73" t="str">
            <v>SDS</v>
          </cell>
        </row>
        <row r="74">
          <cell r="D74" t="str">
            <v>TFPR</v>
          </cell>
          <cell r="E74" t="str">
            <v>ADI SUCIPTO PENFUI</v>
          </cell>
          <cell r="F74" t="str">
            <v>KUPANG</v>
          </cell>
          <cell r="G74" t="str">
            <v>R</v>
          </cell>
          <cell r="H74">
            <v>44926</v>
          </cell>
          <cell r="I74" t="str">
            <v>STANDARD NEW</v>
          </cell>
          <cell r="J74">
            <v>2010027958</v>
          </cell>
          <cell r="K74" t="str">
            <v>JULIMAN LASE</v>
          </cell>
          <cell r="L74" t="str">
            <v>JLE</v>
          </cell>
          <cell r="M74">
            <v>2007003964</v>
          </cell>
          <cell r="N74" t="str">
            <v>KOES HARIYANTO WIBISONO</v>
          </cell>
          <cell r="O74" t="str">
            <v>KHO</v>
          </cell>
          <cell r="P74" t="str">
            <v>idmTFPR@kpg.indomaret.co.id</v>
          </cell>
          <cell r="Q74" t="str">
            <v>KOD. KUPANG</v>
          </cell>
          <cell r="R74" t="str">
            <v>SDN</v>
          </cell>
        </row>
        <row r="75">
          <cell r="D75" t="str">
            <v>TO70</v>
          </cell>
          <cell r="E75" t="str">
            <v>LANUDAL PENFUI TIMUR</v>
          </cell>
          <cell r="F75" t="str">
            <v>KUPANG</v>
          </cell>
          <cell r="G75" t="str">
            <v>R</v>
          </cell>
          <cell r="H75">
            <v>45463</v>
          </cell>
          <cell r="I75" t="str">
            <v xml:space="preserve">STANDARD </v>
          </cell>
          <cell r="J75">
            <v>2010027958</v>
          </cell>
          <cell r="K75" t="str">
            <v>JULIMAN LASE</v>
          </cell>
          <cell r="L75" t="str">
            <v>JLE</v>
          </cell>
          <cell r="M75">
            <v>2007003964</v>
          </cell>
          <cell r="N75" t="str">
            <v>KOES HARIYANTO WIBISONO</v>
          </cell>
          <cell r="O75" t="str">
            <v>KHO</v>
          </cell>
          <cell r="P75" t="str">
            <v>idmTO70@kpg.indomaret.co.id</v>
          </cell>
          <cell r="Q75" t="str">
            <v>KAB. KUPANG</v>
          </cell>
          <cell r="R75" t="str">
            <v>SDS</v>
          </cell>
        </row>
        <row r="76">
          <cell r="D76" t="str">
            <v>TOQF</v>
          </cell>
          <cell r="E76" t="str">
            <v>TIMOR RAYA KM 28</v>
          </cell>
          <cell r="F76" t="str">
            <v>KUPANG</v>
          </cell>
          <cell r="G76" t="str">
            <v>R</v>
          </cell>
          <cell r="H76">
            <v>44984</v>
          </cell>
          <cell r="I76" t="str">
            <v xml:space="preserve">STANDARD </v>
          </cell>
          <cell r="J76">
            <v>2010027958</v>
          </cell>
          <cell r="K76" t="str">
            <v>JULIMAN LASE</v>
          </cell>
          <cell r="L76" t="str">
            <v>JLE</v>
          </cell>
          <cell r="M76">
            <v>2007003964</v>
          </cell>
          <cell r="N76" t="str">
            <v>KOES HARIYANTO WIBISONO</v>
          </cell>
          <cell r="O76" t="str">
            <v>KHO</v>
          </cell>
          <cell r="P76" t="str">
            <v>idmTOQF@kpg.indomaret.co.id</v>
          </cell>
          <cell r="Q76" t="str">
            <v>KAB. KUPANG</v>
          </cell>
          <cell r="R76" t="str">
            <v>SDS</v>
          </cell>
        </row>
        <row r="77">
          <cell r="D77" t="str">
            <v>TT1V</v>
          </cell>
          <cell r="E77" t="str">
            <v>TR NOELBAKI KUPANG</v>
          </cell>
          <cell r="F77" t="str">
            <v>KUPANG</v>
          </cell>
          <cell r="G77" t="str">
            <v>R</v>
          </cell>
          <cell r="H77">
            <v>45655</v>
          </cell>
          <cell r="I77" t="str">
            <v>STANDARD NEW</v>
          </cell>
          <cell r="J77">
            <v>2010027958</v>
          </cell>
          <cell r="K77" t="str">
            <v>JULIMAN LASE</v>
          </cell>
          <cell r="L77" t="str">
            <v>JLE</v>
          </cell>
          <cell r="M77">
            <v>2007003964</v>
          </cell>
          <cell r="N77" t="str">
            <v>KOES HARIYANTO WIBISONO</v>
          </cell>
          <cell r="O77" t="str">
            <v>KHO</v>
          </cell>
          <cell r="P77" t="str">
            <v>idmTT1V@kpg.indomaret.co.id</v>
          </cell>
          <cell r="Q77" t="str">
            <v>KAB. KUPANG</v>
          </cell>
          <cell r="R77" t="str">
            <v>SDN</v>
          </cell>
        </row>
        <row r="78">
          <cell r="D78" t="str">
            <v>TTZQ</v>
          </cell>
          <cell r="E78" t="str">
            <v>PIET A TALLO OESAPA</v>
          </cell>
          <cell r="F78" t="str">
            <v>KUPANG</v>
          </cell>
          <cell r="G78" t="str">
            <v>R</v>
          </cell>
          <cell r="H78">
            <v>44895</v>
          </cell>
          <cell r="I78" t="str">
            <v>STANDARD NEW</v>
          </cell>
          <cell r="J78">
            <v>2010027958</v>
          </cell>
          <cell r="K78" t="str">
            <v>JULIMAN LASE</v>
          </cell>
          <cell r="L78" t="str">
            <v>JLE</v>
          </cell>
          <cell r="M78">
            <v>2007003964</v>
          </cell>
          <cell r="N78" t="str">
            <v>KOES HARIYANTO WIBISONO</v>
          </cell>
          <cell r="O78" t="str">
            <v>KHO</v>
          </cell>
          <cell r="P78" t="str">
            <v>idmTTZQ@kpg.indomaret.co.id</v>
          </cell>
          <cell r="Q78" t="str">
            <v>KOD. KUPANG</v>
          </cell>
          <cell r="R78" t="str">
            <v>SDN</v>
          </cell>
        </row>
        <row r="79">
          <cell r="D79" t="str">
            <v>T4AZ</v>
          </cell>
          <cell r="E79" t="str">
            <v>BASUKI RAHMAT</v>
          </cell>
          <cell r="F79" t="str">
            <v>SUMBA</v>
          </cell>
          <cell r="G79" t="str">
            <v>R</v>
          </cell>
          <cell r="H79">
            <v>45674</v>
          </cell>
          <cell r="I79" t="str">
            <v>STANDARD NEW</v>
          </cell>
          <cell r="J79">
            <v>2010027958</v>
          </cell>
          <cell r="K79" t="str">
            <v>JULIMAN LASE</v>
          </cell>
          <cell r="L79" t="str">
            <v>JLE</v>
          </cell>
          <cell r="M79">
            <v>2010016865</v>
          </cell>
          <cell r="N79" t="str">
            <v>MOHAMMAD BARON</v>
          </cell>
          <cell r="O79" t="str">
            <v>MBN</v>
          </cell>
          <cell r="P79" t="str">
            <v>idmT4AZ@kpg.indomaret.co.id</v>
          </cell>
          <cell r="Q79" t="str">
            <v>KAB. SUMBA BARAT</v>
          </cell>
          <cell r="R79" t="str">
            <v>SDN</v>
          </cell>
        </row>
        <row r="80">
          <cell r="D80" t="str">
            <v>T9HC</v>
          </cell>
          <cell r="E80" t="str">
            <v>WEWEWA BARAT</v>
          </cell>
          <cell r="F80" t="str">
            <v>SUMBA</v>
          </cell>
          <cell r="G80" t="str">
            <v>R</v>
          </cell>
          <cell r="H80">
            <v>45808</v>
          </cell>
          <cell r="I80" t="str">
            <v>STANDARD NEW</v>
          </cell>
          <cell r="J80">
            <v>2010027958</v>
          </cell>
          <cell r="K80" t="str">
            <v>JULIMAN LASE</v>
          </cell>
          <cell r="L80" t="str">
            <v>JLE</v>
          </cell>
          <cell r="M80">
            <v>2010016865</v>
          </cell>
          <cell r="N80" t="str">
            <v>MOHAMMAD BARON</v>
          </cell>
          <cell r="O80" t="str">
            <v>MBN</v>
          </cell>
          <cell r="P80" t="str">
            <v>idmT9HC@kpg.indomaret.co.id</v>
          </cell>
          <cell r="Q80" t="str">
            <v>KAB. SUMBA BARAT DAYA</v>
          </cell>
          <cell r="R80" t="str">
            <v>SDN</v>
          </cell>
        </row>
        <row r="81">
          <cell r="D81" t="str">
            <v>THYS</v>
          </cell>
          <cell r="E81" t="str">
            <v>KODI UTARA</v>
          </cell>
          <cell r="F81" t="str">
            <v>SUMBA</v>
          </cell>
          <cell r="G81" t="str">
            <v>R</v>
          </cell>
          <cell r="H81">
            <v>45652</v>
          </cell>
          <cell r="I81" t="str">
            <v>STANDARD NEW</v>
          </cell>
          <cell r="J81">
            <v>2010027958</v>
          </cell>
          <cell r="K81" t="str">
            <v>JULIMAN LASE</v>
          </cell>
          <cell r="L81" t="str">
            <v>JLE</v>
          </cell>
          <cell r="M81">
            <v>2010016865</v>
          </cell>
          <cell r="N81" t="str">
            <v>MOHAMMAD BARON</v>
          </cell>
          <cell r="O81" t="str">
            <v>MBN</v>
          </cell>
          <cell r="P81" t="str">
            <v>idmTHYS@kpg.indomaret.co.id</v>
          </cell>
          <cell r="Q81" t="str">
            <v>KAB. SUMBA BARAT DAYA</v>
          </cell>
          <cell r="R81" t="str">
            <v>SDN</v>
          </cell>
        </row>
        <row r="82">
          <cell r="D82" t="str">
            <v>TJUD</v>
          </cell>
          <cell r="E82" t="str">
            <v>LEDE KALUMBANG</v>
          </cell>
          <cell r="F82" t="str">
            <v>SUMBA</v>
          </cell>
          <cell r="G82" t="str">
            <v>R</v>
          </cell>
          <cell r="H82">
            <v>45625</v>
          </cell>
          <cell r="I82" t="str">
            <v>STANDARD NEW</v>
          </cell>
          <cell r="J82">
            <v>2010027958</v>
          </cell>
          <cell r="K82" t="str">
            <v>JULIMAN LASE</v>
          </cell>
          <cell r="L82" t="str">
            <v>JLE</v>
          </cell>
          <cell r="M82">
            <v>2010016865</v>
          </cell>
          <cell r="N82" t="str">
            <v>MOHAMMAD BARON</v>
          </cell>
          <cell r="O82" t="str">
            <v>MBN</v>
          </cell>
          <cell r="P82" t="str">
            <v>idmTJUD@kpg.indomaret.co.id</v>
          </cell>
          <cell r="Q82" t="str">
            <v>KAB. SUMBA BARAT DAYA</v>
          </cell>
          <cell r="R82" t="str">
            <v>SDN</v>
          </cell>
        </row>
        <row r="83">
          <cell r="D83" t="str">
            <v>TKG3</v>
          </cell>
          <cell r="E83" t="str">
            <v>BONDO KODI</v>
          </cell>
          <cell r="F83" t="str">
            <v>SUMBA</v>
          </cell>
          <cell r="G83" t="str">
            <v>R</v>
          </cell>
          <cell r="H83">
            <v>45957</v>
          </cell>
          <cell r="I83" t="str">
            <v xml:space="preserve">STANDARD </v>
          </cell>
          <cell r="J83">
            <v>2010027958</v>
          </cell>
          <cell r="K83" t="str">
            <v>JULIMAN LASE</v>
          </cell>
          <cell r="L83" t="str">
            <v>JLE</v>
          </cell>
          <cell r="M83">
            <v>2010016865</v>
          </cell>
          <cell r="N83" t="str">
            <v>MOHAMMAD BARON</v>
          </cell>
          <cell r="O83" t="str">
            <v>MBN</v>
          </cell>
          <cell r="P83" t="str">
            <v>idmTKG3@kpg.indomaret.co.id</v>
          </cell>
          <cell r="Q83" t="str">
            <v>KAB. SUMBA BARAT DAYA</v>
          </cell>
          <cell r="R83" t="str">
            <v>SDS</v>
          </cell>
        </row>
        <row r="84">
          <cell r="D84" t="str">
            <v>TL0I</v>
          </cell>
          <cell r="E84" t="str">
            <v>RAJA YOHANES NGONGO BANI</v>
          </cell>
          <cell r="F84" t="str">
            <v>SUMBA</v>
          </cell>
          <cell r="G84" t="str">
            <v>R</v>
          </cell>
          <cell r="H84">
            <v>45572</v>
          </cell>
          <cell r="I84" t="str">
            <v>STANDARD NEW</v>
          </cell>
          <cell r="J84">
            <v>2010027958</v>
          </cell>
          <cell r="K84" t="str">
            <v>JULIMAN LASE</v>
          </cell>
          <cell r="L84" t="str">
            <v>JLE</v>
          </cell>
          <cell r="M84">
            <v>2010016865</v>
          </cell>
          <cell r="N84" t="str">
            <v>MOHAMMAD BARON</v>
          </cell>
          <cell r="O84" t="str">
            <v>MBN</v>
          </cell>
          <cell r="P84" t="str">
            <v>idmTL0I@kpg.indomaret.co.id</v>
          </cell>
          <cell r="Q84" t="str">
            <v>KAB. SUMBA BARAT DAYA</v>
          </cell>
          <cell r="R84" t="str">
            <v>SDN</v>
          </cell>
        </row>
        <row r="85">
          <cell r="D85" t="str">
            <v>TP3T</v>
          </cell>
          <cell r="E85" t="str">
            <v>BHAYANGKARA NO.1</v>
          </cell>
          <cell r="F85" t="str">
            <v>SUMBA</v>
          </cell>
          <cell r="G85" t="str">
            <v>R</v>
          </cell>
          <cell r="H85">
            <v>45857</v>
          </cell>
          <cell r="I85" t="str">
            <v>STANDARD NEW</v>
          </cell>
          <cell r="J85">
            <v>2010027958</v>
          </cell>
          <cell r="K85" t="str">
            <v>JULIMAN LASE</v>
          </cell>
          <cell r="L85" t="str">
            <v>JLE</v>
          </cell>
          <cell r="M85">
            <v>2010016865</v>
          </cell>
          <cell r="N85" t="str">
            <v>MOHAMMAD BARON</v>
          </cell>
          <cell r="O85" t="str">
            <v>MBN</v>
          </cell>
          <cell r="P85" t="str">
            <v>idmTP3T@kpg.indomaret.co.id</v>
          </cell>
          <cell r="Q85" t="str">
            <v>KAB. SUMBA BARAT</v>
          </cell>
          <cell r="R85" t="str">
            <v>SDN</v>
          </cell>
        </row>
        <row r="86">
          <cell r="D86" t="str">
            <v>TZAM</v>
          </cell>
          <cell r="E86" t="str">
            <v>A YANI WAIKABUBAK</v>
          </cell>
          <cell r="F86" t="str">
            <v>SUMBA</v>
          </cell>
          <cell r="G86" t="str">
            <v>R</v>
          </cell>
          <cell r="H86">
            <v>45570</v>
          </cell>
          <cell r="I86" t="str">
            <v>STANDARD NEW</v>
          </cell>
          <cell r="J86">
            <v>2010027958</v>
          </cell>
          <cell r="K86" t="str">
            <v>JULIMAN LASE</v>
          </cell>
          <cell r="L86" t="str">
            <v>JLE</v>
          </cell>
          <cell r="M86">
            <v>2010016865</v>
          </cell>
          <cell r="N86" t="str">
            <v>MOHAMMAD BARON</v>
          </cell>
          <cell r="O86" t="str">
            <v>MBN</v>
          </cell>
          <cell r="P86" t="str">
            <v>idmTZAM@kpg.indomaret.co.id</v>
          </cell>
          <cell r="Q86" t="str">
            <v>KAB. SUMBA BARAT</v>
          </cell>
          <cell r="R86" t="str">
            <v>SDN</v>
          </cell>
        </row>
        <row r="87">
          <cell r="D87" t="str">
            <v>T2ZE</v>
          </cell>
          <cell r="E87" t="str">
            <v>FATUBESI</v>
          </cell>
          <cell r="F87" t="str">
            <v>KUPANG</v>
          </cell>
          <cell r="G87" t="str">
            <v>R</v>
          </cell>
          <cell r="H87">
            <v>45625</v>
          </cell>
          <cell r="I87" t="str">
            <v xml:space="preserve">STANDARD </v>
          </cell>
          <cell r="J87">
            <v>2010027958</v>
          </cell>
          <cell r="K87" t="str">
            <v>JULIMAN LASE</v>
          </cell>
          <cell r="L87" t="str">
            <v>JLE</v>
          </cell>
          <cell r="M87">
            <v>2015469469</v>
          </cell>
          <cell r="N87" t="str">
            <v>YORDAN VANJEXY SOMBU</v>
          </cell>
          <cell r="O87" t="str">
            <v>YRD</v>
          </cell>
          <cell r="P87" t="str">
            <v>idmT2ZE@kpg.indomaret.co.id</v>
          </cell>
          <cell r="Q87" t="str">
            <v>KOD. KUPANG</v>
          </cell>
          <cell r="R87" t="str">
            <v>SDS</v>
          </cell>
        </row>
        <row r="88">
          <cell r="D88" t="str">
            <v>T6VC</v>
          </cell>
          <cell r="E88" t="str">
            <v>PIET A TALLO</v>
          </cell>
          <cell r="F88" t="str">
            <v>KUPANG</v>
          </cell>
          <cell r="G88" t="str">
            <v>R</v>
          </cell>
          <cell r="H88">
            <v>44772</v>
          </cell>
          <cell r="I88" t="str">
            <v>STANDARD NEW</v>
          </cell>
          <cell r="J88">
            <v>2010027958</v>
          </cell>
          <cell r="K88" t="str">
            <v>JULIMAN LASE</v>
          </cell>
          <cell r="L88" t="str">
            <v>JLE</v>
          </cell>
          <cell r="M88">
            <v>2015469469</v>
          </cell>
          <cell r="N88" t="str">
            <v>YORDAN VANJEXY SOMBU</v>
          </cell>
          <cell r="O88" t="str">
            <v>YRD</v>
          </cell>
          <cell r="P88" t="str">
            <v>idmT6VC@kpg.indomaret.co.id</v>
          </cell>
          <cell r="Q88" t="str">
            <v>KOD. KUPANG</v>
          </cell>
          <cell r="R88" t="str">
            <v>SDN</v>
          </cell>
        </row>
        <row r="89">
          <cell r="D89" t="str">
            <v>T9D7</v>
          </cell>
          <cell r="E89" t="str">
            <v>JAMBU MANULAI II</v>
          </cell>
          <cell r="F89" t="str">
            <v>KUPANG</v>
          </cell>
          <cell r="G89" t="str">
            <v>R</v>
          </cell>
          <cell r="H89">
            <v>44926</v>
          </cell>
          <cell r="I89" t="str">
            <v xml:space="preserve">STANDARD </v>
          </cell>
          <cell r="J89">
            <v>2010027958</v>
          </cell>
          <cell r="K89" t="str">
            <v>JULIMAN LASE</v>
          </cell>
          <cell r="L89" t="str">
            <v>JLE</v>
          </cell>
          <cell r="M89">
            <v>2015469469</v>
          </cell>
          <cell r="N89" t="str">
            <v>YORDAN VANJEXY SOMBU</v>
          </cell>
          <cell r="O89" t="str">
            <v>YRD</v>
          </cell>
          <cell r="P89" t="str">
            <v>idmT9D7@kpg.indomaret.co.id</v>
          </cell>
          <cell r="Q89" t="str">
            <v>KOD. KUPANG</v>
          </cell>
          <cell r="R89" t="str">
            <v>SDS</v>
          </cell>
        </row>
        <row r="90">
          <cell r="D90" t="str">
            <v>TDJ1</v>
          </cell>
          <cell r="E90" t="str">
            <v>JEND. SUDIRMAN NUNLEU</v>
          </cell>
          <cell r="F90" t="str">
            <v>KUPANG</v>
          </cell>
          <cell r="G90" t="str">
            <v>R</v>
          </cell>
          <cell r="H90">
            <v>44926</v>
          </cell>
          <cell r="I90" t="str">
            <v xml:space="preserve">STANDARD </v>
          </cell>
          <cell r="J90">
            <v>2010027958</v>
          </cell>
          <cell r="K90" t="str">
            <v>JULIMAN LASE</v>
          </cell>
          <cell r="L90" t="str">
            <v>JLE</v>
          </cell>
          <cell r="M90">
            <v>2015469469</v>
          </cell>
          <cell r="N90" t="str">
            <v>YORDAN VANJEXY SOMBU</v>
          </cell>
          <cell r="O90" t="str">
            <v>YRD</v>
          </cell>
          <cell r="P90" t="str">
            <v>idmTDJ1@kpg.indomaret.co.id</v>
          </cell>
          <cell r="Q90" t="str">
            <v>KOD. KUPANG</v>
          </cell>
          <cell r="R90" t="str">
            <v>SDS</v>
          </cell>
        </row>
        <row r="91">
          <cell r="D91" t="str">
            <v>TFK8</v>
          </cell>
          <cell r="E91" t="str">
            <v>SAMRATULANGI</v>
          </cell>
          <cell r="F91" t="str">
            <v>KUPANG</v>
          </cell>
          <cell r="G91" t="str">
            <v>R</v>
          </cell>
          <cell r="H91">
            <v>45944</v>
          </cell>
          <cell r="I91" t="str">
            <v xml:space="preserve">STANDARD </v>
          </cell>
          <cell r="J91">
            <v>2010027958</v>
          </cell>
          <cell r="K91" t="str">
            <v>JULIMAN LASE</v>
          </cell>
          <cell r="L91" t="str">
            <v>JLE</v>
          </cell>
          <cell r="M91">
            <v>2015469469</v>
          </cell>
          <cell r="N91" t="str">
            <v>YORDAN VANJEXY SOMBU</v>
          </cell>
          <cell r="O91" t="str">
            <v>YRD</v>
          </cell>
          <cell r="P91" t="str">
            <v>idmTFK8@kpg.indomaret.co.id</v>
          </cell>
          <cell r="Q91" t="str">
            <v>KOD. KUPANG</v>
          </cell>
          <cell r="R91" t="str">
            <v>SDS</v>
          </cell>
        </row>
        <row r="92">
          <cell r="D92" t="str">
            <v>TLBM</v>
          </cell>
          <cell r="E92" t="str">
            <v>CAK DOKO 43</v>
          </cell>
          <cell r="F92" t="str">
            <v>KUPANG</v>
          </cell>
          <cell r="G92" t="str">
            <v>R</v>
          </cell>
          <cell r="H92">
            <v>44985</v>
          </cell>
          <cell r="I92" t="str">
            <v xml:space="preserve">STANDARD </v>
          </cell>
          <cell r="J92">
            <v>2010027958</v>
          </cell>
          <cell r="K92" t="str">
            <v>JULIMAN LASE</v>
          </cell>
          <cell r="L92" t="str">
            <v>JLE</v>
          </cell>
          <cell r="M92">
            <v>2015469469</v>
          </cell>
          <cell r="N92" t="str">
            <v>YORDAN VANJEXY SOMBU</v>
          </cell>
          <cell r="O92" t="str">
            <v>YRD</v>
          </cell>
          <cell r="P92" t="str">
            <v>idmTLBM@kpg.indomaret.co.id</v>
          </cell>
          <cell r="Q92" t="str">
            <v>KOD. KUPANG</v>
          </cell>
          <cell r="R92" t="str">
            <v>SDS</v>
          </cell>
        </row>
        <row r="93">
          <cell r="D93" t="str">
            <v>TLNE</v>
          </cell>
          <cell r="E93" t="str">
            <v>RW MONGINSIDI</v>
          </cell>
          <cell r="F93" t="str">
            <v>KUPANG</v>
          </cell>
          <cell r="G93" t="str">
            <v>R</v>
          </cell>
          <cell r="H93">
            <v>44829</v>
          </cell>
          <cell r="I93" t="str">
            <v>STANDARD NEW</v>
          </cell>
          <cell r="J93">
            <v>2010027958</v>
          </cell>
          <cell r="K93" t="str">
            <v>JULIMAN LASE</v>
          </cell>
          <cell r="L93" t="str">
            <v>JLE</v>
          </cell>
          <cell r="M93">
            <v>2015469469</v>
          </cell>
          <cell r="N93" t="str">
            <v>YORDAN VANJEXY SOMBU</v>
          </cell>
          <cell r="O93" t="str">
            <v>YRD</v>
          </cell>
          <cell r="P93" t="str">
            <v>idmTLNE@kpg.indomaret.co.id</v>
          </cell>
          <cell r="Q93" t="str">
            <v>KOD. KUPANG</v>
          </cell>
          <cell r="R93" t="str">
            <v>SDN</v>
          </cell>
        </row>
        <row r="94">
          <cell r="D94" t="str">
            <v>TM62</v>
          </cell>
          <cell r="E94" t="str">
            <v>TAEBENU PENFUI</v>
          </cell>
          <cell r="F94" t="str">
            <v>KUPANG</v>
          </cell>
          <cell r="G94" t="str">
            <v>R</v>
          </cell>
          <cell r="H94">
            <v>45011</v>
          </cell>
          <cell r="I94" t="str">
            <v xml:space="preserve">STANDARD </v>
          </cell>
          <cell r="J94">
            <v>2010027958</v>
          </cell>
          <cell r="K94" t="str">
            <v>JULIMAN LASE</v>
          </cell>
          <cell r="L94" t="str">
            <v>JLE</v>
          </cell>
          <cell r="M94">
            <v>2015469469</v>
          </cell>
          <cell r="N94" t="str">
            <v>YORDAN VANJEXY SOMBU</v>
          </cell>
          <cell r="O94" t="str">
            <v>YRD</v>
          </cell>
          <cell r="P94" t="str">
            <v>idmTM62@kpg.indomaret.co.id</v>
          </cell>
          <cell r="Q94" t="str">
            <v>KOD. KUPANG</v>
          </cell>
          <cell r="R94" t="str">
            <v>SDS</v>
          </cell>
        </row>
        <row r="95">
          <cell r="D95" t="str">
            <v>TPAU</v>
          </cell>
          <cell r="E95" t="str">
            <v>WJ LALAMENTIK NO.11</v>
          </cell>
          <cell r="F95" t="str">
            <v>KUPANG</v>
          </cell>
          <cell r="G95" t="str">
            <v>R</v>
          </cell>
          <cell r="H95">
            <v>45099</v>
          </cell>
          <cell r="I95" t="str">
            <v>STANDARD NEW</v>
          </cell>
          <cell r="J95">
            <v>2010027958</v>
          </cell>
          <cell r="K95" t="str">
            <v>JULIMAN LASE</v>
          </cell>
          <cell r="L95" t="str">
            <v>JLE</v>
          </cell>
          <cell r="M95">
            <v>2015469469</v>
          </cell>
          <cell r="N95" t="str">
            <v>YORDAN VANJEXY SOMBU</v>
          </cell>
          <cell r="O95" t="str">
            <v>YRD</v>
          </cell>
          <cell r="P95" t="str">
            <v>idmTPAU@kpg.indomaret.co.id</v>
          </cell>
          <cell r="Q95" t="str">
            <v>KOD. KUPANG</v>
          </cell>
          <cell r="R95" t="str">
            <v>SDN</v>
          </cell>
        </row>
        <row r="96">
          <cell r="D96" t="str">
            <v>TQUO</v>
          </cell>
          <cell r="E96" t="str">
            <v>WJ LALAMENTIK</v>
          </cell>
          <cell r="F96" t="str">
            <v>KUPANG</v>
          </cell>
          <cell r="G96" t="str">
            <v>R</v>
          </cell>
          <cell r="H96">
            <v>44880</v>
          </cell>
          <cell r="I96" t="str">
            <v xml:space="preserve">STANDARD </v>
          </cell>
          <cell r="J96">
            <v>2010027958</v>
          </cell>
          <cell r="K96" t="str">
            <v>JULIMAN LASE</v>
          </cell>
          <cell r="L96" t="str">
            <v>JLE</v>
          </cell>
          <cell r="M96">
            <v>2015469469</v>
          </cell>
          <cell r="N96" t="str">
            <v>YORDAN VANJEXY SOMBU</v>
          </cell>
          <cell r="O96" t="str">
            <v>YRD</v>
          </cell>
          <cell r="P96" t="str">
            <v>idmTQUO@kpg.indomaret.co.id</v>
          </cell>
          <cell r="Q96" t="str">
            <v>KOD. KUPANG</v>
          </cell>
          <cell r="R96" t="str">
            <v>SDS</v>
          </cell>
        </row>
        <row r="97">
          <cell r="D97" t="str">
            <v>TTED</v>
          </cell>
          <cell r="E97" t="str">
            <v>HEREWILA</v>
          </cell>
          <cell r="F97" t="str">
            <v>KUPANG</v>
          </cell>
          <cell r="G97" t="str">
            <v>R</v>
          </cell>
          <cell r="H97">
            <v>44895</v>
          </cell>
          <cell r="I97" t="str">
            <v xml:space="preserve">STANDARD </v>
          </cell>
          <cell r="J97">
            <v>2010027958</v>
          </cell>
          <cell r="K97" t="str">
            <v>JULIMAN LASE</v>
          </cell>
          <cell r="L97" t="str">
            <v>JLE</v>
          </cell>
          <cell r="M97">
            <v>2015469469</v>
          </cell>
          <cell r="N97" t="str">
            <v>YORDAN VANJEXY SOMBU</v>
          </cell>
          <cell r="O97" t="str">
            <v>YRD</v>
          </cell>
          <cell r="P97" t="str">
            <v>idmTTED@kpg.indomaret.co.id</v>
          </cell>
          <cell r="Q97" t="str">
            <v>KOD. KUPANG</v>
          </cell>
          <cell r="R97" t="str">
            <v>SDS</v>
          </cell>
        </row>
        <row r="98">
          <cell r="D98" t="str">
            <v>TWX0</v>
          </cell>
          <cell r="E98" t="str">
            <v>BHAKTI KARANG</v>
          </cell>
          <cell r="F98" t="str">
            <v>KUPANG</v>
          </cell>
          <cell r="G98" t="str">
            <v>R</v>
          </cell>
          <cell r="H98">
            <v>44894</v>
          </cell>
          <cell r="I98" t="str">
            <v xml:space="preserve">STANDARD </v>
          </cell>
          <cell r="J98">
            <v>2010027958</v>
          </cell>
          <cell r="K98" t="str">
            <v>JULIMAN LASE</v>
          </cell>
          <cell r="L98" t="str">
            <v>JLE</v>
          </cell>
          <cell r="M98">
            <v>2015469469</v>
          </cell>
          <cell r="N98" t="str">
            <v>YORDAN VANJEXY SOMBU</v>
          </cell>
          <cell r="O98" t="str">
            <v>YRD</v>
          </cell>
          <cell r="P98" t="str">
            <v>idmTWX0@kpg.indomaret.co.id</v>
          </cell>
          <cell r="Q98" t="str">
            <v>KOD. KUPANG</v>
          </cell>
          <cell r="R98" t="str">
            <v>SDS</v>
          </cell>
        </row>
        <row r="99">
          <cell r="D99" t="str">
            <v>TWZJ</v>
          </cell>
          <cell r="E99" t="str">
            <v>TIMOR RAYA KM 12</v>
          </cell>
          <cell r="F99" t="str">
            <v>KUPANG</v>
          </cell>
          <cell r="G99" t="str">
            <v>R</v>
          </cell>
          <cell r="H99">
            <v>44858</v>
          </cell>
          <cell r="I99" t="str">
            <v xml:space="preserve">STANDARD </v>
          </cell>
          <cell r="J99">
            <v>2010027958</v>
          </cell>
          <cell r="K99" t="str">
            <v>JULIMAN LASE</v>
          </cell>
          <cell r="L99" t="str">
            <v>JLE</v>
          </cell>
          <cell r="M99">
            <v>2015469469</v>
          </cell>
          <cell r="N99" t="str">
            <v>YORDAN VANJEXY SOMBU</v>
          </cell>
          <cell r="O99" t="str">
            <v>YRD</v>
          </cell>
          <cell r="P99" t="str">
            <v>idmTWZJ@kpg.indomaret.co.id</v>
          </cell>
          <cell r="Q99" t="str">
            <v>KOD. KUPANG</v>
          </cell>
          <cell r="R99" t="str">
            <v>SDS</v>
          </cell>
        </row>
        <row r="100">
          <cell r="D100" t="str">
            <v>TY7M</v>
          </cell>
          <cell r="E100" t="str">
            <v>ADI SUCIPTO</v>
          </cell>
          <cell r="F100" t="str">
            <v>KUPANG</v>
          </cell>
          <cell r="G100" t="str">
            <v>R</v>
          </cell>
          <cell r="H100">
            <v>44994</v>
          </cell>
          <cell r="I100" t="str">
            <v xml:space="preserve">STANDARD </v>
          </cell>
          <cell r="J100">
            <v>2010027958</v>
          </cell>
          <cell r="K100" t="str">
            <v>JULIMAN LASE</v>
          </cell>
          <cell r="L100" t="str">
            <v>JLE</v>
          </cell>
          <cell r="M100">
            <v>2015469469</v>
          </cell>
          <cell r="N100" t="str">
            <v>YORDAN VANJEXY SOMBU</v>
          </cell>
          <cell r="O100" t="str">
            <v>YRD</v>
          </cell>
          <cell r="P100" t="str">
            <v>idmTY7M@kpg.indomaret.co.id</v>
          </cell>
          <cell r="Q100" t="str">
            <v>KOD. KUPANG</v>
          </cell>
          <cell r="R100" t="str">
            <v>SDS</v>
          </cell>
        </row>
        <row r="101">
          <cell r="D101" t="str">
            <v>F2GB</v>
          </cell>
          <cell r="E101" t="str">
            <v>BANYUGLUGUR</v>
          </cell>
          <cell r="F101" t="str">
            <v>JEMBER</v>
          </cell>
          <cell r="G101" t="str">
            <v>F</v>
          </cell>
          <cell r="H101">
            <v>44228</v>
          </cell>
          <cell r="I101" t="str">
            <v xml:space="preserve">STANDARD </v>
          </cell>
          <cell r="J101">
            <v>2012028418</v>
          </cell>
          <cell r="K101" t="str">
            <v>ARYANA TYAS SAPUTRA</v>
          </cell>
          <cell r="L101" t="str">
            <v>ATS</v>
          </cell>
          <cell r="M101">
            <v>2008901678</v>
          </cell>
          <cell r="N101" t="str">
            <v>DANI SETIAWAN</v>
          </cell>
          <cell r="O101" t="str">
            <v>DAN</v>
          </cell>
          <cell r="P101" t="str">
            <v>idF2GB@jbr.indomaret.co.id</v>
          </cell>
          <cell r="Q101" t="str">
            <v>KAB. SITUBONDO</v>
          </cell>
          <cell r="R101" t="str">
            <v>SDS</v>
          </cell>
        </row>
        <row r="102">
          <cell r="D102" t="str">
            <v>F439</v>
          </cell>
          <cell r="E102" t="str">
            <v>BESUKI - STB</v>
          </cell>
          <cell r="F102" t="str">
            <v>JEMBER</v>
          </cell>
          <cell r="G102" t="str">
            <v>F</v>
          </cell>
          <cell r="H102">
            <v>45411</v>
          </cell>
          <cell r="I102" t="str">
            <v xml:space="preserve">STANDARD </v>
          </cell>
          <cell r="J102">
            <v>2012028418</v>
          </cell>
          <cell r="K102" t="str">
            <v>ARYANA TYAS SAPUTRA</v>
          </cell>
          <cell r="L102" t="str">
            <v>ATS</v>
          </cell>
          <cell r="M102">
            <v>2008901678</v>
          </cell>
          <cell r="N102" t="str">
            <v>DANI SETIAWAN</v>
          </cell>
          <cell r="O102" t="str">
            <v>DAN</v>
          </cell>
          <cell r="P102" t="str">
            <v>idF439@jbr.indomaret.co.id</v>
          </cell>
          <cell r="Q102" t="str">
            <v>KAB. SITUBONDO</v>
          </cell>
          <cell r="R102" t="str">
            <v>SDS</v>
          </cell>
        </row>
        <row r="103">
          <cell r="D103" t="str">
            <v>FBLP</v>
          </cell>
          <cell r="E103" t="str">
            <v>SUBOH-STO</v>
          </cell>
          <cell r="F103" t="str">
            <v>JEMBER</v>
          </cell>
          <cell r="G103" t="str">
            <v>F</v>
          </cell>
          <cell r="H103">
            <v>44256</v>
          </cell>
          <cell r="I103" t="str">
            <v xml:space="preserve">STANDARD </v>
          </cell>
          <cell r="J103">
            <v>2012028418</v>
          </cell>
          <cell r="K103" t="str">
            <v>ARYANA TYAS SAPUTRA</v>
          </cell>
          <cell r="L103" t="str">
            <v>ATS</v>
          </cell>
          <cell r="M103">
            <v>2008901678</v>
          </cell>
          <cell r="N103" t="str">
            <v>DANI SETIAWAN</v>
          </cell>
          <cell r="O103" t="str">
            <v>DAN</v>
          </cell>
          <cell r="P103" t="str">
            <v>idFBLP@jbr.indomaret.co.id</v>
          </cell>
          <cell r="Q103" t="str">
            <v>KAB. SITUBONDO</v>
          </cell>
          <cell r="R103" t="str">
            <v>SDS</v>
          </cell>
        </row>
        <row r="104">
          <cell r="D104" t="str">
            <v>FJEZ</v>
          </cell>
          <cell r="E104" t="str">
            <v>PATTIMURA -  SITUBONDO</v>
          </cell>
          <cell r="F104" t="str">
            <v>JEMBER</v>
          </cell>
          <cell r="G104" t="str">
            <v>F</v>
          </cell>
          <cell r="H104">
            <v>45323</v>
          </cell>
          <cell r="I104" t="str">
            <v xml:space="preserve">STANDARD </v>
          </cell>
          <cell r="J104">
            <v>2012028418</v>
          </cell>
          <cell r="K104" t="str">
            <v>ARYANA TYAS SAPUTRA</v>
          </cell>
          <cell r="L104" t="str">
            <v>ATS</v>
          </cell>
          <cell r="M104">
            <v>2008901678</v>
          </cell>
          <cell r="N104" t="str">
            <v>DANI SETIAWAN</v>
          </cell>
          <cell r="O104" t="str">
            <v>DAN</v>
          </cell>
          <cell r="P104" t="str">
            <v>idFJEZ@jbr.indomaret.co.id</v>
          </cell>
          <cell r="Q104" t="str">
            <v>KAB. SITUBONDO</v>
          </cell>
          <cell r="R104" t="str">
            <v>SDS</v>
          </cell>
        </row>
        <row r="105">
          <cell r="D105" t="str">
            <v>FL9D</v>
          </cell>
          <cell r="E105" t="str">
            <v>GARUDA BESUKI</v>
          </cell>
          <cell r="F105" t="str">
            <v>JEMBER</v>
          </cell>
          <cell r="G105" t="str">
            <v>F</v>
          </cell>
          <cell r="H105">
            <v>44771</v>
          </cell>
          <cell r="I105" t="str">
            <v xml:space="preserve">STANDARD </v>
          </cell>
          <cell r="J105">
            <v>2012028418</v>
          </cell>
          <cell r="K105" t="str">
            <v>ARYANA TYAS SAPUTRA</v>
          </cell>
          <cell r="L105" t="str">
            <v>ATS</v>
          </cell>
          <cell r="M105">
            <v>2008901678</v>
          </cell>
          <cell r="N105" t="str">
            <v>DANI SETIAWAN</v>
          </cell>
          <cell r="O105" t="str">
            <v>DAN</v>
          </cell>
          <cell r="P105" t="str">
            <v>idFLD9@jbr.indomaret.co.id</v>
          </cell>
          <cell r="Q105" t="str">
            <v>KAB. SITUBONDO</v>
          </cell>
          <cell r="R105" t="str">
            <v>SDS</v>
          </cell>
        </row>
        <row r="106">
          <cell r="D106" t="str">
            <v>FSYJ</v>
          </cell>
          <cell r="E106" t="str">
            <v>BUDUAN</v>
          </cell>
          <cell r="F106" t="str">
            <v>JEMBER</v>
          </cell>
          <cell r="G106" t="str">
            <v>F</v>
          </cell>
          <cell r="H106">
            <v>45053</v>
          </cell>
          <cell r="I106" t="str">
            <v xml:space="preserve">STANDARD </v>
          </cell>
          <cell r="J106">
            <v>2012028418</v>
          </cell>
          <cell r="K106" t="str">
            <v>ARYANA TYAS SAPUTRA</v>
          </cell>
          <cell r="L106" t="str">
            <v>ATS</v>
          </cell>
          <cell r="M106">
            <v>2008901678</v>
          </cell>
          <cell r="N106" t="str">
            <v>DANI SETIAWAN</v>
          </cell>
          <cell r="O106" t="str">
            <v>DAN</v>
          </cell>
          <cell r="P106" t="str">
            <v>idFSYJ@jbr.indomaret.co.id</v>
          </cell>
          <cell r="Q106" t="str">
            <v>KAB. SITUBONDO</v>
          </cell>
          <cell r="R106" t="str">
            <v>SDS</v>
          </cell>
        </row>
        <row r="107">
          <cell r="D107" t="str">
            <v>FT2J</v>
          </cell>
          <cell r="E107" t="str">
            <v>RAYA BESUKI - SITUBONDO</v>
          </cell>
          <cell r="F107" t="str">
            <v>JEMBER</v>
          </cell>
          <cell r="G107" t="str">
            <v>F</v>
          </cell>
          <cell r="H107">
            <v>45076</v>
          </cell>
          <cell r="I107" t="str">
            <v xml:space="preserve">STANDARD </v>
          </cell>
          <cell r="J107">
            <v>2012028418</v>
          </cell>
          <cell r="K107" t="str">
            <v>ARYANA TYAS SAPUTRA</v>
          </cell>
          <cell r="L107" t="str">
            <v>ATS</v>
          </cell>
          <cell r="M107">
            <v>2008901678</v>
          </cell>
          <cell r="N107" t="str">
            <v>DANI SETIAWAN</v>
          </cell>
          <cell r="O107" t="str">
            <v>DAN</v>
          </cell>
          <cell r="P107" t="str">
            <v>idFT2J@jbr.indomaret.co.id</v>
          </cell>
          <cell r="Q107" t="str">
            <v>KAB. SITUBONDO</v>
          </cell>
          <cell r="R107" t="str">
            <v>SDS</v>
          </cell>
        </row>
        <row r="108">
          <cell r="D108" t="str">
            <v>T2W0</v>
          </cell>
          <cell r="E108" t="str">
            <v>ADIRASA BESUKI</v>
          </cell>
          <cell r="F108" t="str">
            <v>JEMBER</v>
          </cell>
          <cell r="G108" t="str">
            <v>R</v>
          </cell>
          <cell r="H108">
            <v>46154</v>
          </cell>
          <cell r="I108" t="str">
            <v>STANDARD NEW</v>
          </cell>
          <cell r="J108">
            <v>2012028418</v>
          </cell>
          <cell r="K108" t="str">
            <v>ARYANA TYAS SAPUTRA</v>
          </cell>
          <cell r="L108" t="str">
            <v>ATS</v>
          </cell>
          <cell r="M108">
            <v>2008901678</v>
          </cell>
          <cell r="N108" t="str">
            <v>DANI SETIAWAN</v>
          </cell>
          <cell r="O108" t="str">
            <v>DAN</v>
          </cell>
          <cell r="P108" t="str">
            <v>idmT2W0@jbr.indomaret.co.id</v>
          </cell>
          <cell r="Q108" t="str">
            <v>KAB. SITUBONDO</v>
          </cell>
          <cell r="R108" t="str">
            <v>SDN</v>
          </cell>
        </row>
        <row r="109">
          <cell r="D109" t="str">
            <v>TGXG</v>
          </cell>
          <cell r="E109" t="str">
            <v>RAYA KOTA TIMUR</v>
          </cell>
          <cell r="F109" t="str">
            <v>JEMBER</v>
          </cell>
          <cell r="G109" t="str">
            <v>R</v>
          </cell>
          <cell r="H109">
            <v>41537</v>
          </cell>
          <cell r="I109" t="str">
            <v>STANDARD NEW</v>
          </cell>
          <cell r="J109">
            <v>2012028418</v>
          </cell>
          <cell r="K109" t="str">
            <v>ARYANA TYAS SAPUTRA</v>
          </cell>
          <cell r="L109" t="str">
            <v>ATS</v>
          </cell>
          <cell r="M109">
            <v>2008901678</v>
          </cell>
          <cell r="N109" t="str">
            <v>DANI SETIAWAN</v>
          </cell>
          <cell r="O109" t="str">
            <v>DAN</v>
          </cell>
          <cell r="P109" t="str">
            <v>idmTGXG@jbr.indomaret.co.id</v>
          </cell>
          <cell r="Q109" t="str">
            <v>KAB. SITUBONDO</v>
          </cell>
          <cell r="R109" t="str">
            <v>SDN</v>
          </cell>
        </row>
        <row r="110">
          <cell r="D110" t="str">
            <v>THEM</v>
          </cell>
          <cell r="E110" t="str">
            <v>KALIANGET STO</v>
          </cell>
          <cell r="F110" t="str">
            <v>JEMBER</v>
          </cell>
          <cell r="G110" t="str">
            <v>R</v>
          </cell>
          <cell r="H110">
            <v>41820</v>
          </cell>
          <cell r="I110" t="str">
            <v xml:space="preserve">STANDARD </v>
          </cell>
          <cell r="J110">
            <v>2012028418</v>
          </cell>
          <cell r="K110" t="str">
            <v>ARYANA TYAS SAPUTRA</v>
          </cell>
          <cell r="L110" t="str">
            <v>ATS</v>
          </cell>
          <cell r="M110">
            <v>2008901678</v>
          </cell>
          <cell r="N110" t="str">
            <v>DANI SETIAWAN</v>
          </cell>
          <cell r="O110" t="str">
            <v>DAN</v>
          </cell>
          <cell r="P110" t="str">
            <v>idmTHEM@jbr.indomaret.co.id</v>
          </cell>
          <cell r="Q110" t="str">
            <v>KAB. SITUBONDO</v>
          </cell>
          <cell r="R110" t="str">
            <v>SDS</v>
          </cell>
        </row>
        <row r="111">
          <cell r="D111" t="str">
            <v>TKAE</v>
          </cell>
          <cell r="E111" t="str">
            <v>DEMUNG STB</v>
          </cell>
          <cell r="F111" t="str">
            <v>JEMBER</v>
          </cell>
          <cell r="G111" t="str">
            <v>R</v>
          </cell>
          <cell r="H111">
            <v>41565</v>
          </cell>
          <cell r="I111" t="str">
            <v xml:space="preserve">STANDARD </v>
          </cell>
          <cell r="J111">
            <v>2012028418</v>
          </cell>
          <cell r="K111" t="str">
            <v>ARYANA TYAS SAPUTRA</v>
          </cell>
          <cell r="L111" t="str">
            <v>ATS</v>
          </cell>
          <cell r="M111">
            <v>2008901678</v>
          </cell>
          <cell r="N111" t="str">
            <v>DANI SETIAWAN</v>
          </cell>
          <cell r="O111" t="str">
            <v>DAN</v>
          </cell>
          <cell r="P111" t="str">
            <v>idmTKAE@jbr.indomaret.co.id</v>
          </cell>
          <cell r="Q111" t="str">
            <v>KAB. SITUBONDO</v>
          </cell>
          <cell r="R111" t="str">
            <v>SDS</v>
          </cell>
        </row>
        <row r="112">
          <cell r="D112" t="str">
            <v>TLEC</v>
          </cell>
          <cell r="E112" t="str">
            <v>KOTA TIMUR - SITUBONDO</v>
          </cell>
          <cell r="F112" t="str">
            <v>JEMBER</v>
          </cell>
          <cell r="G112" t="str">
            <v>R</v>
          </cell>
          <cell r="H112">
            <v>41974</v>
          </cell>
          <cell r="I112" t="str">
            <v xml:space="preserve">STANDARD </v>
          </cell>
          <cell r="J112">
            <v>2012028418</v>
          </cell>
          <cell r="K112" t="str">
            <v>ARYANA TYAS SAPUTRA</v>
          </cell>
          <cell r="L112" t="str">
            <v>ATS</v>
          </cell>
          <cell r="M112">
            <v>2008901678</v>
          </cell>
          <cell r="N112" t="str">
            <v>DANI SETIAWAN</v>
          </cell>
          <cell r="O112" t="str">
            <v>DAN</v>
          </cell>
          <cell r="P112" t="str">
            <v>idmTLEC@jbr.indomaret.co.id</v>
          </cell>
          <cell r="Q112" t="str">
            <v>KAB. SITUBONDO</v>
          </cell>
          <cell r="R112" t="str">
            <v>SDS</v>
          </cell>
        </row>
        <row r="113">
          <cell r="D113" t="str">
            <v>TVUY</v>
          </cell>
          <cell r="E113" t="str">
            <v>KALIMAS BESUKI</v>
          </cell>
          <cell r="F113" t="str">
            <v>JEMBER</v>
          </cell>
          <cell r="G113" t="str">
            <v>R</v>
          </cell>
          <cell r="H113">
            <v>44651</v>
          </cell>
          <cell r="I113" t="str">
            <v xml:space="preserve">STANDARD </v>
          </cell>
          <cell r="J113">
            <v>2012028418</v>
          </cell>
          <cell r="K113" t="str">
            <v>ARYANA TYAS SAPUTRA</v>
          </cell>
          <cell r="L113" t="str">
            <v>ATS</v>
          </cell>
          <cell r="M113">
            <v>2008901678</v>
          </cell>
          <cell r="N113" t="str">
            <v>DANI SETIAWAN</v>
          </cell>
          <cell r="O113" t="str">
            <v>DAN</v>
          </cell>
          <cell r="P113" t="str">
            <v>idmTVUY@jbr.indomaret.co.id</v>
          </cell>
          <cell r="Q113" t="str">
            <v>KAB. SITUBONDO</v>
          </cell>
          <cell r="R113" t="str">
            <v>SDS</v>
          </cell>
        </row>
        <row r="114">
          <cell r="D114" t="str">
            <v>F20W</v>
          </cell>
          <cell r="E114" t="str">
            <v>SEMERU 14</v>
          </cell>
          <cell r="F114" t="str">
            <v>JEMBER</v>
          </cell>
          <cell r="G114" t="str">
            <v>F</v>
          </cell>
          <cell r="H114">
            <v>45439</v>
          </cell>
          <cell r="I114" t="str">
            <v xml:space="preserve">STANDARD </v>
          </cell>
          <cell r="J114">
            <v>2012028418</v>
          </cell>
          <cell r="K114" t="str">
            <v>ARYANA TYAS SAPUTRA</v>
          </cell>
          <cell r="L114" t="str">
            <v>ATS</v>
          </cell>
          <cell r="M114">
            <v>2008890339</v>
          </cell>
          <cell r="N114" t="str">
            <v>HERMANTO</v>
          </cell>
          <cell r="O114" t="str">
            <v>HMT</v>
          </cell>
          <cell r="P114" t="str">
            <v>idF20W@jbr.indomaret.co.id</v>
          </cell>
          <cell r="Q114" t="str">
            <v>KOD. PROBOLINGGO</v>
          </cell>
          <cell r="R114" t="str">
            <v>SDS</v>
          </cell>
        </row>
        <row r="115">
          <cell r="D115" t="str">
            <v>FAHP</v>
          </cell>
          <cell r="E115" t="str">
            <v>MAWAR</v>
          </cell>
          <cell r="F115" t="str">
            <v>JEMBER</v>
          </cell>
          <cell r="G115" t="str">
            <v>F</v>
          </cell>
          <cell r="H115">
            <v>44597</v>
          </cell>
          <cell r="I115" t="str">
            <v xml:space="preserve">STANDARD </v>
          </cell>
          <cell r="J115">
            <v>2012028418</v>
          </cell>
          <cell r="K115" t="str">
            <v>ARYANA TYAS SAPUTRA</v>
          </cell>
          <cell r="L115" t="str">
            <v>ATS</v>
          </cell>
          <cell r="M115">
            <v>2008890339</v>
          </cell>
          <cell r="N115" t="str">
            <v>HERMANTO</v>
          </cell>
          <cell r="O115" t="str">
            <v>HMT</v>
          </cell>
          <cell r="P115" t="str">
            <v>idFAHP@jbr.indomaret.co.id</v>
          </cell>
          <cell r="Q115" t="str">
            <v>KOD. PROBOLINGGO</v>
          </cell>
          <cell r="R115" t="str">
            <v>SDS</v>
          </cell>
        </row>
        <row r="116">
          <cell r="D116" t="str">
            <v>FGKR</v>
          </cell>
          <cell r="E116" t="str">
            <v>PROBOLINGGO 2</v>
          </cell>
          <cell r="F116" t="str">
            <v>JEMBER</v>
          </cell>
          <cell r="G116" t="str">
            <v>F</v>
          </cell>
          <cell r="H116">
            <v>44531</v>
          </cell>
          <cell r="I116" t="str">
            <v xml:space="preserve">STANDARD </v>
          </cell>
          <cell r="J116">
            <v>2012028418</v>
          </cell>
          <cell r="K116" t="str">
            <v>ARYANA TYAS SAPUTRA</v>
          </cell>
          <cell r="L116" t="str">
            <v>ATS</v>
          </cell>
          <cell r="M116">
            <v>2008890339</v>
          </cell>
          <cell r="N116" t="str">
            <v>HERMANTO</v>
          </cell>
          <cell r="O116" t="str">
            <v>HMT</v>
          </cell>
          <cell r="P116" t="str">
            <v>idFGKR@jbr.indomaret.co.id</v>
          </cell>
          <cell r="Q116" t="str">
            <v>KOD. PROBOLINGGO</v>
          </cell>
          <cell r="R116" t="str">
            <v>SDS</v>
          </cell>
        </row>
        <row r="117">
          <cell r="D117" t="str">
            <v>FKL1</v>
          </cell>
          <cell r="E117" t="str">
            <v>KEDOPOK</v>
          </cell>
          <cell r="F117" t="str">
            <v>JEMBER</v>
          </cell>
          <cell r="G117" t="str">
            <v>F</v>
          </cell>
          <cell r="H117">
            <v>45926</v>
          </cell>
          <cell r="I117" t="str">
            <v xml:space="preserve">STANDARD </v>
          </cell>
          <cell r="J117">
            <v>2012028418</v>
          </cell>
          <cell r="K117" t="str">
            <v>ARYANA TYAS SAPUTRA</v>
          </cell>
          <cell r="L117" t="str">
            <v>ATS</v>
          </cell>
          <cell r="M117">
            <v>2008890339</v>
          </cell>
          <cell r="N117" t="str">
            <v>HERMANTO</v>
          </cell>
          <cell r="O117" t="str">
            <v>HMT</v>
          </cell>
          <cell r="P117" t="str">
            <v>idFKL1@jbr.indomaret.co.id</v>
          </cell>
          <cell r="Q117" t="str">
            <v>KOD. PROBOLINGGO</v>
          </cell>
          <cell r="R117" t="str">
            <v>SDS</v>
          </cell>
        </row>
        <row r="118">
          <cell r="D118" t="str">
            <v>TCKL</v>
          </cell>
          <cell r="E118" t="str">
            <v>SUMBERTAMAN</v>
          </cell>
          <cell r="F118" t="str">
            <v>JEMBER</v>
          </cell>
          <cell r="G118" t="str">
            <v>R</v>
          </cell>
          <cell r="H118">
            <v>43188</v>
          </cell>
          <cell r="I118" t="str">
            <v xml:space="preserve">STANDARD </v>
          </cell>
          <cell r="J118">
            <v>2012028418</v>
          </cell>
          <cell r="K118" t="str">
            <v>ARYANA TYAS SAPUTRA</v>
          </cell>
          <cell r="L118" t="str">
            <v>ATS</v>
          </cell>
          <cell r="M118">
            <v>2008890339</v>
          </cell>
          <cell r="N118" t="str">
            <v>HERMANTO</v>
          </cell>
          <cell r="O118" t="str">
            <v>HMT</v>
          </cell>
          <cell r="P118" t="str">
            <v>idmTCKL@jbr.indomaret.co.id</v>
          </cell>
          <cell r="Q118" t="str">
            <v>KOD. PROBOLINGGO</v>
          </cell>
          <cell r="R118" t="str">
            <v>SDS</v>
          </cell>
        </row>
        <row r="119">
          <cell r="D119" t="str">
            <v>TDYI</v>
          </cell>
          <cell r="E119" t="str">
            <v>PESISIR PBO</v>
          </cell>
          <cell r="F119" t="str">
            <v>JEMBER</v>
          </cell>
          <cell r="G119" t="str">
            <v>R</v>
          </cell>
          <cell r="H119">
            <v>41873</v>
          </cell>
          <cell r="I119" t="str">
            <v xml:space="preserve">STANDARD </v>
          </cell>
          <cell r="J119">
            <v>2012028418</v>
          </cell>
          <cell r="K119" t="str">
            <v>ARYANA TYAS SAPUTRA</v>
          </cell>
          <cell r="L119" t="str">
            <v>ATS</v>
          </cell>
          <cell r="M119">
            <v>2008890339</v>
          </cell>
          <cell r="N119" t="str">
            <v>HERMANTO</v>
          </cell>
          <cell r="O119" t="str">
            <v>HMT</v>
          </cell>
          <cell r="P119" t="str">
            <v>idmTDYI@jbr.indomaret.co.id</v>
          </cell>
          <cell r="Q119" t="str">
            <v>KAB. PROBOLINGGO</v>
          </cell>
          <cell r="R119" t="str">
            <v>SDS</v>
          </cell>
        </row>
        <row r="120">
          <cell r="D120" t="str">
            <v>TGKX</v>
          </cell>
          <cell r="E120" t="str">
            <v>SOEKARNO HATTA 66</v>
          </cell>
          <cell r="F120" t="str">
            <v>JEMBER</v>
          </cell>
          <cell r="G120" t="str">
            <v>R</v>
          </cell>
          <cell r="H120">
            <v>44730</v>
          </cell>
          <cell r="I120" t="str">
            <v xml:space="preserve">STANDARD </v>
          </cell>
          <cell r="J120">
            <v>2012028418</v>
          </cell>
          <cell r="K120" t="str">
            <v>ARYANA TYAS SAPUTRA</v>
          </cell>
          <cell r="L120" t="str">
            <v>ATS</v>
          </cell>
          <cell r="M120">
            <v>2008890339</v>
          </cell>
          <cell r="N120" t="str">
            <v>HERMANTO</v>
          </cell>
          <cell r="O120" t="str">
            <v>HMT</v>
          </cell>
          <cell r="P120" t="str">
            <v>idmTGKX@jbr.indomaret.co.id</v>
          </cell>
          <cell r="Q120" t="str">
            <v>KOD. PROBOLINGGO</v>
          </cell>
          <cell r="R120" t="str">
            <v>SDS</v>
          </cell>
        </row>
        <row r="121">
          <cell r="D121" t="str">
            <v>TGT7</v>
          </cell>
          <cell r="E121" t="str">
            <v>MANGGA PERMATA REGENCY</v>
          </cell>
          <cell r="F121" t="str">
            <v>JEMBER</v>
          </cell>
          <cell r="G121" t="str">
            <v>R</v>
          </cell>
          <cell r="H121">
            <v>45514</v>
          </cell>
          <cell r="I121" t="str">
            <v xml:space="preserve">STANDARD </v>
          </cell>
          <cell r="J121">
            <v>2012028418</v>
          </cell>
          <cell r="K121" t="str">
            <v>ARYANA TYAS SAPUTRA</v>
          </cell>
          <cell r="L121" t="str">
            <v>ATS</v>
          </cell>
          <cell r="M121">
            <v>2008890339</v>
          </cell>
          <cell r="N121" t="str">
            <v>HERMANTO</v>
          </cell>
          <cell r="O121" t="str">
            <v>HMT</v>
          </cell>
          <cell r="P121" t="str">
            <v>idmTGT7@jbr.indomaret.co.id</v>
          </cell>
          <cell r="Q121" t="str">
            <v>KOD. PROBOLINGGO</v>
          </cell>
          <cell r="R121" t="str">
            <v>SDS</v>
          </cell>
        </row>
        <row r="122">
          <cell r="D122" t="str">
            <v>TPGD</v>
          </cell>
          <cell r="E122" t="str">
            <v>SUROYO 08</v>
          </cell>
          <cell r="F122" t="str">
            <v>JEMBER</v>
          </cell>
          <cell r="G122" t="str">
            <v>R</v>
          </cell>
          <cell r="H122">
            <v>43248</v>
          </cell>
          <cell r="I122" t="str">
            <v xml:space="preserve">STANDARD </v>
          </cell>
          <cell r="J122">
            <v>2012028418</v>
          </cell>
          <cell r="K122" t="str">
            <v>ARYANA TYAS SAPUTRA</v>
          </cell>
          <cell r="L122" t="str">
            <v>ATS</v>
          </cell>
          <cell r="M122">
            <v>2008890339</v>
          </cell>
          <cell r="N122" t="str">
            <v>HERMANTO</v>
          </cell>
          <cell r="O122" t="str">
            <v>HMT</v>
          </cell>
          <cell r="P122" t="str">
            <v>idmTPGD@jbr.indomaret.co.id</v>
          </cell>
          <cell r="Q122" t="str">
            <v>KOD. PROBOLINGGO</v>
          </cell>
          <cell r="R122" t="str">
            <v>SDS</v>
          </cell>
        </row>
        <row r="123">
          <cell r="D123" t="str">
            <v>TTMX</v>
          </cell>
          <cell r="E123" t="str">
            <v>RAYA SUKOHARJO - PBO</v>
          </cell>
          <cell r="F123" t="str">
            <v>JEMBER</v>
          </cell>
          <cell r="G123" t="str">
            <v>R</v>
          </cell>
          <cell r="H123">
            <v>41205</v>
          </cell>
          <cell r="I123" t="str">
            <v xml:space="preserve">STANDARD </v>
          </cell>
          <cell r="J123">
            <v>2012028418</v>
          </cell>
          <cell r="K123" t="str">
            <v>ARYANA TYAS SAPUTRA</v>
          </cell>
          <cell r="L123" t="str">
            <v>ATS</v>
          </cell>
          <cell r="M123">
            <v>2008890339</v>
          </cell>
          <cell r="N123" t="str">
            <v>HERMANTO</v>
          </cell>
          <cell r="O123" t="str">
            <v>HMT</v>
          </cell>
          <cell r="P123" t="str">
            <v>idmTTMX@jbr.indomaret.co.id</v>
          </cell>
          <cell r="Q123" t="str">
            <v>KOD. PROBOLINGGO</v>
          </cell>
          <cell r="R123" t="str">
            <v>SDS</v>
          </cell>
        </row>
        <row r="124">
          <cell r="D124" t="str">
            <v>TVLD</v>
          </cell>
          <cell r="E124" t="str">
            <v>WR. SUPRATMAN</v>
          </cell>
          <cell r="F124" t="str">
            <v>JEMBER</v>
          </cell>
          <cell r="G124" t="str">
            <v>R</v>
          </cell>
          <cell r="H124">
            <v>42972</v>
          </cell>
          <cell r="I124" t="str">
            <v xml:space="preserve">STANDARD </v>
          </cell>
          <cell r="J124">
            <v>2012028418</v>
          </cell>
          <cell r="K124" t="str">
            <v>ARYANA TYAS SAPUTRA</v>
          </cell>
          <cell r="L124" t="str">
            <v>ATS</v>
          </cell>
          <cell r="M124">
            <v>2008890339</v>
          </cell>
          <cell r="N124" t="str">
            <v>HERMANTO</v>
          </cell>
          <cell r="O124" t="str">
            <v>HMT</v>
          </cell>
          <cell r="P124" t="str">
            <v>idmTVLD@jbr.indomaret.co.id</v>
          </cell>
          <cell r="Q124" t="str">
            <v>KOD. PROBOLINGGO</v>
          </cell>
          <cell r="R124" t="str">
            <v>SDS</v>
          </cell>
        </row>
        <row r="125">
          <cell r="D125" t="str">
            <v>TXMZ</v>
          </cell>
          <cell r="E125" t="str">
            <v>SUMBER KEDAWUNG</v>
          </cell>
          <cell r="F125" t="str">
            <v>JEMBER</v>
          </cell>
          <cell r="G125" t="str">
            <v>R</v>
          </cell>
          <cell r="H125">
            <v>42399</v>
          </cell>
          <cell r="I125" t="str">
            <v>STANDARD NEW</v>
          </cell>
          <cell r="J125">
            <v>2012028418</v>
          </cell>
          <cell r="K125" t="str">
            <v>ARYANA TYAS SAPUTRA</v>
          </cell>
          <cell r="L125" t="str">
            <v>ATS</v>
          </cell>
          <cell r="M125">
            <v>2008890339</v>
          </cell>
          <cell r="N125" t="str">
            <v>HERMANTO</v>
          </cell>
          <cell r="O125" t="str">
            <v>HMT</v>
          </cell>
          <cell r="P125" t="str">
            <v>idmTXMZ@jbr.indomaret.co.id</v>
          </cell>
          <cell r="Q125" t="str">
            <v>KAB. PROBOLINGGO</v>
          </cell>
          <cell r="R125" t="str">
            <v>SDN</v>
          </cell>
        </row>
        <row r="126">
          <cell r="D126" t="str">
            <v>F2K2</v>
          </cell>
          <cell r="E126" t="str">
            <v>LUMBANG</v>
          </cell>
          <cell r="F126" t="str">
            <v>JEMBER</v>
          </cell>
          <cell r="G126" t="str">
            <v>F</v>
          </cell>
          <cell r="H126">
            <v>45347</v>
          </cell>
          <cell r="I126" t="str">
            <v xml:space="preserve">STANDARD </v>
          </cell>
          <cell r="J126">
            <v>2012028418</v>
          </cell>
          <cell r="K126" t="str">
            <v>ARYANA TYAS SAPUTRA</v>
          </cell>
          <cell r="L126" t="str">
            <v>ATS</v>
          </cell>
          <cell r="M126">
            <v>2011003610</v>
          </cell>
          <cell r="N126" t="str">
            <v>JOKO HADI PRAMONO</v>
          </cell>
          <cell r="O126" t="str">
            <v>JHO</v>
          </cell>
          <cell r="P126" t="str">
            <v>idF2K2@jbr.indomaret.co.id</v>
          </cell>
          <cell r="Q126" t="str">
            <v>KAB. PROBOLINGGO</v>
          </cell>
          <cell r="R126" t="str">
            <v>SDS</v>
          </cell>
        </row>
        <row r="127">
          <cell r="D127" t="str">
            <v>FKQL</v>
          </cell>
          <cell r="E127" t="str">
            <v>SAPIKEREP</v>
          </cell>
          <cell r="F127" t="str">
            <v>JEMBER</v>
          </cell>
          <cell r="G127" t="str">
            <v>F</v>
          </cell>
          <cell r="H127">
            <v>45968</v>
          </cell>
          <cell r="I127" t="str">
            <v>STANDARD NEW</v>
          </cell>
          <cell r="J127">
            <v>2012028418</v>
          </cell>
          <cell r="K127" t="str">
            <v>ARYANA TYAS SAPUTRA</v>
          </cell>
          <cell r="L127" t="str">
            <v>ATS</v>
          </cell>
          <cell r="M127">
            <v>2011003610</v>
          </cell>
          <cell r="N127" t="str">
            <v>JOKO HADI PRAMONO</v>
          </cell>
          <cell r="O127" t="str">
            <v>JHO</v>
          </cell>
          <cell r="P127" t="str">
            <v>idFKQL@jbr.indomaret.co.id</v>
          </cell>
          <cell r="Q127" t="str">
            <v>KAB. PROBOLINGGO</v>
          </cell>
          <cell r="R127" t="str">
            <v>SDN</v>
          </cell>
        </row>
        <row r="128">
          <cell r="D128" t="str">
            <v>FZU3</v>
          </cell>
          <cell r="E128" t="str">
            <v>SUKAPURA -  PBO</v>
          </cell>
          <cell r="F128" t="str">
            <v>JEMBER</v>
          </cell>
          <cell r="G128" t="str">
            <v>F</v>
          </cell>
          <cell r="H128">
            <v>45170</v>
          </cell>
          <cell r="I128" t="str">
            <v xml:space="preserve">STANDARD </v>
          </cell>
          <cell r="J128">
            <v>2012028418</v>
          </cell>
          <cell r="K128" t="str">
            <v>ARYANA TYAS SAPUTRA</v>
          </cell>
          <cell r="L128" t="str">
            <v>ATS</v>
          </cell>
          <cell r="M128">
            <v>2011003610</v>
          </cell>
          <cell r="N128" t="str">
            <v>JOKO HADI PRAMONO</v>
          </cell>
          <cell r="O128" t="str">
            <v>JHO</v>
          </cell>
          <cell r="P128" t="str">
            <v>idFZU3@jbr.indomaret.co.id</v>
          </cell>
          <cell r="Q128" t="str">
            <v>KAB. PROBOLINGGO</v>
          </cell>
          <cell r="R128" t="str">
            <v>SDS</v>
          </cell>
        </row>
        <row r="129">
          <cell r="D129" t="str">
            <v>T78T</v>
          </cell>
          <cell r="E129" t="str">
            <v>RAYA TONGAS PBO</v>
          </cell>
          <cell r="F129" t="str">
            <v>JEMBER</v>
          </cell>
          <cell r="G129" t="str">
            <v>R</v>
          </cell>
          <cell r="H129">
            <v>40753</v>
          </cell>
          <cell r="I129" t="str">
            <v xml:space="preserve">STANDARD </v>
          </cell>
          <cell r="J129">
            <v>2012028418</v>
          </cell>
          <cell r="K129" t="str">
            <v>ARYANA TYAS SAPUTRA</v>
          </cell>
          <cell r="L129" t="str">
            <v>ATS</v>
          </cell>
          <cell r="M129">
            <v>2011003610</v>
          </cell>
          <cell r="N129" t="str">
            <v>JOKO HADI PRAMONO</v>
          </cell>
          <cell r="O129" t="str">
            <v>JHO</v>
          </cell>
          <cell r="P129" t="str">
            <v>idmT78T@jbr.indomaret.co.id</v>
          </cell>
          <cell r="Q129" t="str">
            <v>KAB. PROBOLINGGO</v>
          </cell>
          <cell r="R129" t="str">
            <v>SDS</v>
          </cell>
        </row>
        <row r="130">
          <cell r="D130" t="str">
            <v>TBIA</v>
          </cell>
          <cell r="E130" t="str">
            <v>TONGAS WETAN</v>
          </cell>
          <cell r="F130" t="str">
            <v>JEMBER</v>
          </cell>
          <cell r="G130" t="str">
            <v>R</v>
          </cell>
          <cell r="H130">
            <v>42794</v>
          </cell>
          <cell r="I130" t="str">
            <v xml:space="preserve">STANDARD </v>
          </cell>
          <cell r="J130">
            <v>2012028418</v>
          </cell>
          <cell r="K130" t="str">
            <v>ARYANA TYAS SAPUTRA</v>
          </cell>
          <cell r="L130" t="str">
            <v>ATS</v>
          </cell>
          <cell r="M130">
            <v>2011003610</v>
          </cell>
          <cell r="N130" t="str">
            <v>JOKO HADI PRAMONO</v>
          </cell>
          <cell r="O130" t="str">
            <v>JHO</v>
          </cell>
          <cell r="P130" t="str">
            <v>idmTBIA@jbr.indomaret.co.id</v>
          </cell>
          <cell r="Q130" t="str">
            <v>KAB. PROBOLINGGO</v>
          </cell>
          <cell r="R130" t="str">
            <v>SDS</v>
          </cell>
        </row>
        <row r="131">
          <cell r="D131" t="str">
            <v>TJBT</v>
          </cell>
          <cell r="E131" t="str">
            <v>TAMBAKREJO TONGAS</v>
          </cell>
          <cell r="F131" t="str">
            <v>JEMBER</v>
          </cell>
          <cell r="G131" t="str">
            <v>R</v>
          </cell>
          <cell r="H131">
            <v>44866</v>
          </cell>
          <cell r="I131" t="str">
            <v xml:space="preserve">STANDARD </v>
          </cell>
          <cell r="J131">
            <v>2012028418</v>
          </cell>
          <cell r="K131" t="str">
            <v>ARYANA TYAS SAPUTRA</v>
          </cell>
          <cell r="L131" t="str">
            <v>ATS</v>
          </cell>
          <cell r="M131">
            <v>2011003610</v>
          </cell>
          <cell r="N131" t="str">
            <v>JOKO HADI PRAMONO</v>
          </cell>
          <cell r="O131" t="str">
            <v>JHO</v>
          </cell>
          <cell r="P131" t="str">
            <v>idFSOD@jbr.indomaret.co.id</v>
          </cell>
          <cell r="Q131" t="str">
            <v>KAB. PROBOLINGGO</v>
          </cell>
          <cell r="R131" t="str">
            <v>SDS</v>
          </cell>
        </row>
        <row r="132">
          <cell r="D132" t="str">
            <v>TKMB</v>
          </cell>
          <cell r="E132" t="str">
            <v>BANJARSARI</v>
          </cell>
          <cell r="F132" t="str">
            <v>JEMBER</v>
          </cell>
          <cell r="G132" t="str">
            <v>R</v>
          </cell>
          <cell r="H132">
            <v>42021</v>
          </cell>
          <cell r="I132" t="str">
            <v xml:space="preserve">STANDARD </v>
          </cell>
          <cell r="J132">
            <v>2012028418</v>
          </cell>
          <cell r="K132" t="str">
            <v>ARYANA TYAS SAPUTRA</v>
          </cell>
          <cell r="L132" t="str">
            <v>ATS</v>
          </cell>
          <cell r="M132">
            <v>2011003610</v>
          </cell>
          <cell r="N132" t="str">
            <v>JOKO HADI PRAMONO</v>
          </cell>
          <cell r="O132" t="str">
            <v>JHO</v>
          </cell>
          <cell r="P132" t="str">
            <v>idmTKMB@jbr.indomaret.co.id</v>
          </cell>
          <cell r="Q132" t="str">
            <v>KAB. PROBOLINGGO</v>
          </cell>
          <cell r="R132" t="str">
            <v>SDS</v>
          </cell>
        </row>
        <row r="133">
          <cell r="D133" t="str">
            <v>TOFL</v>
          </cell>
          <cell r="E133" t="str">
            <v>RAYA TAMBAK REJO</v>
          </cell>
          <cell r="F133" t="str">
            <v>JEMBER</v>
          </cell>
          <cell r="G133" t="str">
            <v>R</v>
          </cell>
          <cell r="H133">
            <v>42847</v>
          </cell>
          <cell r="I133" t="str">
            <v xml:space="preserve">STANDARD </v>
          </cell>
          <cell r="J133">
            <v>2012028418</v>
          </cell>
          <cell r="K133" t="str">
            <v>ARYANA TYAS SAPUTRA</v>
          </cell>
          <cell r="L133" t="str">
            <v>ATS</v>
          </cell>
          <cell r="M133">
            <v>2011003610</v>
          </cell>
          <cell r="N133" t="str">
            <v>JOKO HADI PRAMONO</v>
          </cell>
          <cell r="O133" t="str">
            <v>JHO</v>
          </cell>
          <cell r="P133" t="str">
            <v>idmTOFL@jbr.indomaret.co.id</v>
          </cell>
          <cell r="Q133" t="str">
            <v>KAB. PROBOLINGGO</v>
          </cell>
          <cell r="R133" t="str">
            <v>SDS</v>
          </cell>
        </row>
        <row r="134">
          <cell r="D134" t="str">
            <v>TRDE</v>
          </cell>
          <cell r="E134" t="str">
            <v>POINT REST AREA KM 833 A - PBO</v>
          </cell>
          <cell r="F134" t="str">
            <v>JEMBER</v>
          </cell>
          <cell r="G134" t="str">
            <v>R</v>
          </cell>
          <cell r="H134">
            <v>43616</v>
          </cell>
          <cell r="I134" t="str">
            <v>MATRIX CONVINIENCE KHUSUS</v>
          </cell>
          <cell r="J134">
            <v>2012028418</v>
          </cell>
          <cell r="K134" t="str">
            <v>ARYANA TYAS SAPUTRA</v>
          </cell>
          <cell r="L134" t="str">
            <v>ATS</v>
          </cell>
          <cell r="M134">
            <v>2011003610</v>
          </cell>
          <cell r="N134" t="str">
            <v>JOKO HADI PRAMONO</v>
          </cell>
          <cell r="O134" t="str">
            <v>JHO</v>
          </cell>
          <cell r="P134" t="str">
            <v>idmTRDE@jbr.indomaret.co.id</v>
          </cell>
          <cell r="Q134" t="str">
            <v>KAB. PROBOLINGGO</v>
          </cell>
          <cell r="R134" t="str">
            <v>MCK</v>
          </cell>
        </row>
        <row r="135">
          <cell r="D135" t="str">
            <v>TRRI</v>
          </cell>
          <cell r="E135" t="str">
            <v>RAYA PANGLIMA SUDIRMAN TONGAS</v>
          </cell>
          <cell r="F135" t="str">
            <v>JEMBER</v>
          </cell>
          <cell r="G135" t="str">
            <v>R</v>
          </cell>
          <cell r="H135">
            <v>41912</v>
          </cell>
          <cell r="I135" t="str">
            <v xml:space="preserve">STANDARD </v>
          </cell>
          <cell r="J135">
            <v>2012028418</v>
          </cell>
          <cell r="K135" t="str">
            <v>ARYANA TYAS SAPUTRA</v>
          </cell>
          <cell r="L135" t="str">
            <v>ATS</v>
          </cell>
          <cell r="M135">
            <v>2011003610</v>
          </cell>
          <cell r="N135" t="str">
            <v>JOKO HADI PRAMONO</v>
          </cell>
          <cell r="O135" t="str">
            <v>JHO</v>
          </cell>
          <cell r="P135" t="str">
            <v>idmTRRI@jbr.indomaret.co.id</v>
          </cell>
          <cell r="Q135" t="str">
            <v>KAB. PROBOLINGGO</v>
          </cell>
          <cell r="R135" t="str">
            <v>SDS</v>
          </cell>
        </row>
        <row r="136">
          <cell r="D136" t="str">
            <v>TUCX</v>
          </cell>
          <cell r="E136" t="str">
            <v>POINT REST AREA TOL 819 A - PBO</v>
          </cell>
          <cell r="F136" t="str">
            <v>JEMBER</v>
          </cell>
          <cell r="G136" t="str">
            <v>R</v>
          </cell>
          <cell r="H136">
            <v>43827</v>
          </cell>
          <cell r="I136" t="str">
            <v>MATRIX CONVINIENCE KHUSUS</v>
          </cell>
          <cell r="J136">
            <v>2012028418</v>
          </cell>
          <cell r="K136" t="str">
            <v>ARYANA TYAS SAPUTRA</v>
          </cell>
          <cell r="L136" t="str">
            <v>ATS</v>
          </cell>
          <cell r="M136">
            <v>2011003610</v>
          </cell>
          <cell r="N136" t="str">
            <v>JOKO HADI PRAMONO</v>
          </cell>
          <cell r="O136" t="str">
            <v>JHO</v>
          </cell>
          <cell r="P136" t="str">
            <v>idmTUCX@jbr.indomaret.co.id</v>
          </cell>
          <cell r="Q136" t="str">
            <v>KAB. PROBOLINGGO</v>
          </cell>
          <cell r="R136" t="str">
            <v>MCK</v>
          </cell>
        </row>
        <row r="137">
          <cell r="D137" t="str">
            <v>FFHT</v>
          </cell>
          <cell r="E137" t="str">
            <v>KARANG ANYAR - PBO</v>
          </cell>
          <cell r="F137" t="str">
            <v>JEMBER</v>
          </cell>
          <cell r="G137" t="str">
            <v>F</v>
          </cell>
          <cell r="H137">
            <v>45627</v>
          </cell>
          <cell r="I137" t="str">
            <v xml:space="preserve">STANDARD </v>
          </cell>
          <cell r="J137">
            <v>2012028418</v>
          </cell>
          <cell r="K137" t="str">
            <v>ARYANA TYAS SAPUTRA</v>
          </cell>
          <cell r="L137" t="str">
            <v>ATS</v>
          </cell>
          <cell r="M137">
            <v>2013025824</v>
          </cell>
          <cell r="N137" t="str">
            <v>SAHRUL AZIZ</v>
          </cell>
          <cell r="O137" t="str">
            <v>SAZ</v>
          </cell>
          <cell r="P137" t="str">
            <v>idFFHT@jbr.indomaret.co.id</v>
          </cell>
          <cell r="Q137" t="str">
            <v>KAB. PROBOLINGGO</v>
          </cell>
          <cell r="R137" t="str">
            <v>SDS</v>
          </cell>
        </row>
        <row r="138">
          <cell r="D138" t="str">
            <v>FFRX</v>
          </cell>
          <cell r="E138" t="str">
            <v>BENGAWAN SOLO</v>
          </cell>
          <cell r="F138" t="str">
            <v>JEMBER</v>
          </cell>
          <cell r="G138" t="str">
            <v>F</v>
          </cell>
          <cell r="H138">
            <v>45989</v>
          </cell>
          <cell r="I138" t="str">
            <v xml:space="preserve">STANDARD </v>
          </cell>
          <cell r="J138">
            <v>2012028418</v>
          </cell>
          <cell r="K138" t="str">
            <v>ARYANA TYAS SAPUTRA</v>
          </cell>
          <cell r="L138" t="str">
            <v>ATS</v>
          </cell>
          <cell r="M138">
            <v>2013025824</v>
          </cell>
          <cell r="N138" t="str">
            <v>SAHRUL AZIZ</v>
          </cell>
          <cell r="O138" t="str">
            <v>SAZ</v>
          </cell>
          <cell r="P138" t="str">
            <v>idFFRX@jbr.indomaret.co.id</v>
          </cell>
          <cell r="Q138" t="str">
            <v>KOD. PROBOLINGGO</v>
          </cell>
          <cell r="R138" t="str">
            <v>SDS</v>
          </cell>
        </row>
        <row r="139">
          <cell r="D139" t="str">
            <v>FMWG</v>
          </cell>
          <cell r="E139" t="str">
            <v>TRIWUNG LOR</v>
          </cell>
          <cell r="F139" t="str">
            <v>JEMBER</v>
          </cell>
          <cell r="G139" t="str">
            <v>F</v>
          </cell>
          <cell r="H139">
            <v>44943</v>
          </cell>
          <cell r="I139" t="str">
            <v>STANDARD NEW</v>
          </cell>
          <cell r="J139">
            <v>2012028418</v>
          </cell>
          <cell r="K139" t="str">
            <v>ARYANA TYAS SAPUTRA</v>
          </cell>
          <cell r="L139" t="str">
            <v>ATS</v>
          </cell>
          <cell r="M139">
            <v>2013025824</v>
          </cell>
          <cell r="N139" t="str">
            <v>SAHRUL AZIZ</v>
          </cell>
          <cell r="O139" t="str">
            <v>SAZ</v>
          </cell>
          <cell r="P139" t="str">
            <v>idFMWG@jbr.indomaret.co.id</v>
          </cell>
          <cell r="Q139" t="str">
            <v>KOD. PROBOLINGGO</v>
          </cell>
          <cell r="R139" t="str">
            <v>SDN</v>
          </cell>
        </row>
        <row r="140">
          <cell r="D140" t="str">
            <v>FORA</v>
          </cell>
          <cell r="E140" t="str">
            <v>ANGGUR</v>
          </cell>
          <cell r="F140" t="str">
            <v>JEMBER</v>
          </cell>
          <cell r="G140" t="str">
            <v>F</v>
          </cell>
          <cell r="H140">
            <v>45108</v>
          </cell>
          <cell r="I140" t="str">
            <v xml:space="preserve">STANDARD </v>
          </cell>
          <cell r="J140">
            <v>2012028418</v>
          </cell>
          <cell r="K140" t="str">
            <v>ARYANA TYAS SAPUTRA</v>
          </cell>
          <cell r="L140" t="str">
            <v>ATS</v>
          </cell>
          <cell r="M140">
            <v>2013025824</v>
          </cell>
          <cell r="N140" t="str">
            <v>SAHRUL AZIZ</v>
          </cell>
          <cell r="O140" t="str">
            <v>SAZ</v>
          </cell>
          <cell r="P140" t="str">
            <v>idmFORA@jbr.indomaret.co.id</v>
          </cell>
          <cell r="Q140" t="str">
            <v>KOD. PROBOLINGGO</v>
          </cell>
          <cell r="R140" t="str">
            <v>SDS</v>
          </cell>
        </row>
        <row r="141">
          <cell r="D141" t="str">
            <v>FP1K</v>
          </cell>
          <cell r="E141" t="str">
            <v>BANTARAN</v>
          </cell>
          <cell r="F141" t="str">
            <v>JEMBER</v>
          </cell>
          <cell r="G141" t="str">
            <v>F</v>
          </cell>
          <cell r="H141">
            <v>45570</v>
          </cell>
          <cell r="I141" t="str">
            <v xml:space="preserve">STANDARD </v>
          </cell>
          <cell r="J141">
            <v>2012028418</v>
          </cell>
          <cell r="K141" t="str">
            <v>ARYANA TYAS SAPUTRA</v>
          </cell>
          <cell r="L141" t="str">
            <v>ATS</v>
          </cell>
          <cell r="M141">
            <v>2013025824</v>
          </cell>
          <cell r="N141" t="str">
            <v>SAHRUL AZIZ</v>
          </cell>
          <cell r="O141" t="str">
            <v>SAZ</v>
          </cell>
          <cell r="P141" t="str">
            <v>idFP1K@jbr.indomaret.co.id</v>
          </cell>
          <cell r="Q141" t="str">
            <v>KAB. PROBOLINGGO</v>
          </cell>
          <cell r="R141" t="str">
            <v>SDS</v>
          </cell>
        </row>
        <row r="142">
          <cell r="D142" t="str">
            <v>FZU5</v>
          </cell>
          <cell r="E142" t="str">
            <v>MUNENG</v>
          </cell>
          <cell r="F142" t="str">
            <v>JEMBER</v>
          </cell>
          <cell r="G142" t="str">
            <v>F</v>
          </cell>
          <cell r="H142">
            <v>44805</v>
          </cell>
          <cell r="I142" t="str">
            <v xml:space="preserve">STANDARD </v>
          </cell>
          <cell r="J142">
            <v>2012028418</v>
          </cell>
          <cell r="K142" t="str">
            <v>ARYANA TYAS SAPUTRA</v>
          </cell>
          <cell r="L142" t="str">
            <v>ATS</v>
          </cell>
          <cell r="M142">
            <v>2013025824</v>
          </cell>
          <cell r="N142" t="str">
            <v>SAHRUL AZIZ</v>
          </cell>
          <cell r="O142" t="str">
            <v>SAZ</v>
          </cell>
          <cell r="P142" t="str">
            <v>idFZU5@jbr.indomaret.co.id</v>
          </cell>
          <cell r="Q142" t="str">
            <v>KAB. PROBOLINGGO</v>
          </cell>
          <cell r="R142" t="str">
            <v>SDS</v>
          </cell>
        </row>
        <row r="143">
          <cell r="D143" t="str">
            <v>TANG</v>
          </cell>
          <cell r="E143" t="str">
            <v>JORONGAN PBO</v>
          </cell>
          <cell r="F143" t="str">
            <v>JEMBER</v>
          </cell>
          <cell r="G143" t="str">
            <v>R</v>
          </cell>
          <cell r="H143">
            <v>41814</v>
          </cell>
          <cell r="I143" t="str">
            <v xml:space="preserve">STANDARD </v>
          </cell>
          <cell r="J143">
            <v>2012028418</v>
          </cell>
          <cell r="K143" t="str">
            <v>ARYANA TYAS SAPUTRA</v>
          </cell>
          <cell r="L143" t="str">
            <v>ATS</v>
          </cell>
          <cell r="M143">
            <v>2013025824</v>
          </cell>
          <cell r="N143" t="str">
            <v>SAHRUL AZIZ</v>
          </cell>
          <cell r="O143" t="str">
            <v>SAZ</v>
          </cell>
          <cell r="P143" t="str">
            <v>idmTANG@jbr.indomaret.co.id</v>
          </cell>
          <cell r="Q143" t="str">
            <v>KAB. PROBOLINGGO</v>
          </cell>
          <cell r="R143" t="str">
            <v>SDS</v>
          </cell>
        </row>
        <row r="144">
          <cell r="D144" t="str">
            <v>TBWM</v>
          </cell>
          <cell r="E144" t="str">
            <v>BAYUANGGA 20 B-C</v>
          </cell>
          <cell r="F144" t="str">
            <v>JEMBER</v>
          </cell>
          <cell r="G144" t="str">
            <v>R</v>
          </cell>
          <cell r="H144">
            <v>43076</v>
          </cell>
          <cell r="I144" t="str">
            <v xml:space="preserve">STANDARD </v>
          </cell>
          <cell r="J144">
            <v>2012028418</v>
          </cell>
          <cell r="K144" t="str">
            <v>ARYANA TYAS SAPUTRA</v>
          </cell>
          <cell r="L144" t="str">
            <v>ATS</v>
          </cell>
          <cell r="M144">
            <v>2013025824</v>
          </cell>
          <cell r="N144" t="str">
            <v>SAHRUL AZIZ</v>
          </cell>
          <cell r="O144" t="str">
            <v>SAZ</v>
          </cell>
          <cell r="P144" t="str">
            <v>idmTBWM@jbr.indomaret.co.id</v>
          </cell>
          <cell r="Q144" t="str">
            <v>KOD. PROBOLINGGO</v>
          </cell>
          <cell r="R144" t="str">
            <v>SDS</v>
          </cell>
        </row>
        <row r="145">
          <cell r="D145" t="str">
            <v>TEBL</v>
          </cell>
          <cell r="E145" t="str">
            <v>BRANTAS</v>
          </cell>
          <cell r="F145" t="str">
            <v>JEMBER</v>
          </cell>
          <cell r="G145" t="str">
            <v>R</v>
          </cell>
          <cell r="H145">
            <v>42427</v>
          </cell>
          <cell r="I145" t="str">
            <v xml:space="preserve">STANDARD </v>
          </cell>
          <cell r="J145">
            <v>2012028418</v>
          </cell>
          <cell r="K145" t="str">
            <v>ARYANA TYAS SAPUTRA</v>
          </cell>
          <cell r="L145" t="str">
            <v>ATS</v>
          </cell>
          <cell r="M145">
            <v>2013025824</v>
          </cell>
          <cell r="N145" t="str">
            <v>SAHRUL AZIZ</v>
          </cell>
          <cell r="O145" t="str">
            <v>SAZ</v>
          </cell>
          <cell r="P145" t="str">
            <v>idmTEBL@jbr.indomaret.co.id</v>
          </cell>
          <cell r="Q145" t="str">
            <v>KOD. PROBOLINGGO</v>
          </cell>
          <cell r="R145" t="str">
            <v>SDS</v>
          </cell>
        </row>
        <row r="146">
          <cell r="D146" t="str">
            <v>TJDJ</v>
          </cell>
          <cell r="E146" t="str">
            <v>SLAMET RIYADI PBO</v>
          </cell>
          <cell r="F146" t="str">
            <v>JEMBER</v>
          </cell>
          <cell r="G146" t="str">
            <v>R</v>
          </cell>
          <cell r="H146">
            <v>43502</v>
          </cell>
          <cell r="I146" t="str">
            <v>STANDARD NEW</v>
          </cell>
          <cell r="J146">
            <v>2012028418</v>
          </cell>
          <cell r="K146" t="str">
            <v>ARYANA TYAS SAPUTRA</v>
          </cell>
          <cell r="L146" t="str">
            <v>ATS</v>
          </cell>
          <cell r="M146">
            <v>2013025824</v>
          </cell>
          <cell r="N146" t="str">
            <v>SAHRUL AZIZ</v>
          </cell>
          <cell r="O146" t="str">
            <v>SAZ</v>
          </cell>
          <cell r="P146" t="str">
            <v>idmTJDJ@jbr.indomaret.co.id</v>
          </cell>
          <cell r="Q146" t="str">
            <v>KOD. PROBOLINGGO</v>
          </cell>
          <cell r="R146" t="str">
            <v>SDN</v>
          </cell>
        </row>
        <row r="147">
          <cell r="D147" t="str">
            <v>TLTS</v>
          </cell>
          <cell r="E147" t="str">
            <v>DR.BUYA HAMKA</v>
          </cell>
          <cell r="F147" t="str">
            <v>JEMBER</v>
          </cell>
          <cell r="G147" t="str">
            <v>R</v>
          </cell>
          <cell r="H147">
            <v>42368</v>
          </cell>
          <cell r="I147" t="str">
            <v xml:space="preserve">STANDARD </v>
          </cell>
          <cell r="J147">
            <v>2012028418</v>
          </cell>
          <cell r="K147" t="str">
            <v>ARYANA TYAS SAPUTRA</v>
          </cell>
          <cell r="L147" t="str">
            <v>ATS</v>
          </cell>
          <cell r="M147">
            <v>2013025824</v>
          </cell>
          <cell r="N147" t="str">
            <v>SAHRUL AZIZ</v>
          </cell>
          <cell r="O147" t="str">
            <v>SAZ</v>
          </cell>
          <cell r="P147" t="str">
            <v>idmTLTS@jbr.indomaret.co.id</v>
          </cell>
          <cell r="Q147" t="str">
            <v>KOD. PROBOLINGGO</v>
          </cell>
          <cell r="R147" t="str">
            <v>SDS</v>
          </cell>
        </row>
        <row r="148">
          <cell r="D148" t="str">
            <v>TNLT</v>
          </cell>
          <cell r="E148" t="str">
            <v>WONOMERTO</v>
          </cell>
          <cell r="F148" t="str">
            <v>JEMBER</v>
          </cell>
          <cell r="G148" t="str">
            <v>R</v>
          </cell>
          <cell r="H148">
            <v>44967</v>
          </cell>
          <cell r="I148" t="str">
            <v xml:space="preserve">STANDARD </v>
          </cell>
          <cell r="J148">
            <v>2012028418</v>
          </cell>
          <cell r="K148" t="str">
            <v>ARYANA TYAS SAPUTRA</v>
          </cell>
          <cell r="L148" t="str">
            <v>ATS</v>
          </cell>
          <cell r="M148">
            <v>2013025824</v>
          </cell>
          <cell r="N148" t="str">
            <v>SAHRUL AZIZ</v>
          </cell>
          <cell r="O148" t="str">
            <v>SAZ</v>
          </cell>
          <cell r="P148" t="str">
            <v>idmTNLT@jbr.indomaret.co.id</v>
          </cell>
          <cell r="Q148" t="str">
            <v>KAB. PROBOLINGGO</v>
          </cell>
          <cell r="R148" t="str">
            <v>SDS</v>
          </cell>
        </row>
        <row r="149">
          <cell r="D149" t="str">
            <v>TVWI</v>
          </cell>
          <cell r="E149" t="str">
            <v>WARUJINGGO</v>
          </cell>
          <cell r="F149" t="str">
            <v>JEMBER</v>
          </cell>
          <cell r="G149" t="str">
            <v>R</v>
          </cell>
          <cell r="H149">
            <v>42993</v>
          </cell>
          <cell r="I149" t="str">
            <v xml:space="preserve">STANDARD </v>
          </cell>
          <cell r="J149">
            <v>2012028418</v>
          </cell>
          <cell r="K149" t="str">
            <v>ARYANA TYAS SAPUTRA</v>
          </cell>
          <cell r="L149" t="str">
            <v>ATS</v>
          </cell>
          <cell r="M149">
            <v>2013025824</v>
          </cell>
          <cell r="N149" t="str">
            <v>SAHRUL AZIZ</v>
          </cell>
          <cell r="O149" t="str">
            <v>SAZ</v>
          </cell>
          <cell r="P149" t="str">
            <v>idmTVWI@jbr.indomaret.co.id</v>
          </cell>
          <cell r="Q149" t="str">
            <v>KAB. PROBOLINGGO</v>
          </cell>
          <cell r="R149" t="str">
            <v>SDS</v>
          </cell>
        </row>
        <row r="150">
          <cell r="D150" t="str">
            <v>F6QF</v>
          </cell>
          <cell r="E150" t="str">
            <v>BRUMBUNGAN LOR</v>
          </cell>
          <cell r="F150" t="str">
            <v>JEMBER</v>
          </cell>
          <cell r="G150" t="str">
            <v>F</v>
          </cell>
          <cell r="H150">
            <v>46041</v>
          </cell>
          <cell r="I150" t="str">
            <v xml:space="preserve">STANDARD </v>
          </cell>
          <cell r="J150">
            <v>2012028418</v>
          </cell>
          <cell r="K150" t="str">
            <v>ARYANA TYAS SAPUTRA</v>
          </cell>
          <cell r="L150" t="str">
            <v>ATS</v>
          </cell>
          <cell r="M150">
            <v>2008420142</v>
          </cell>
          <cell r="N150" t="str">
            <v>UNDADI</v>
          </cell>
          <cell r="O150" t="str">
            <v>UDI</v>
          </cell>
          <cell r="P150" t="str">
            <v>idF6QF@jbr.indomaret.co.id</v>
          </cell>
          <cell r="Q150" t="str">
            <v>KAB. PROBOLINGGO</v>
          </cell>
          <cell r="R150" t="str">
            <v>SDS</v>
          </cell>
        </row>
        <row r="151">
          <cell r="D151" t="str">
            <v>FS1P</v>
          </cell>
          <cell r="E151" t="str">
            <v>PAJARAKAN KM 111</v>
          </cell>
          <cell r="F151" t="str">
            <v>JEMBER</v>
          </cell>
          <cell r="G151" t="str">
            <v>F</v>
          </cell>
          <cell r="H151">
            <v>45538</v>
          </cell>
          <cell r="I151" t="str">
            <v xml:space="preserve">STANDARD </v>
          </cell>
          <cell r="J151">
            <v>2012028418</v>
          </cell>
          <cell r="K151" t="str">
            <v>ARYANA TYAS SAPUTRA</v>
          </cell>
          <cell r="L151" t="str">
            <v>ATS</v>
          </cell>
          <cell r="M151">
            <v>2008420142</v>
          </cell>
          <cell r="N151" t="str">
            <v>UNDADI</v>
          </cell>
          <cell r="O151" t="str">
            <v>UDI</v>
          </cell>
          <cell r="P151" t="str">
            <v>idFS1P@jbr.indomaret.co.id</v>
          </cell>
          <cell r="Q151" t="str">
            <v>KAB. PROBOLINGGO</v>
          </cell>
          <cell r="R151" t="str">
            <v>SDS</v>
          </cell>
        </row>
        <row r="152">
          <cell r="D152" t="str">
            <v>FSZO</v>
          </cell>
          <cell r="E152" t="str">
            <v>PAJARAKAN LAND</v>
          </cell>
          <cell r="F152" t="str">
            <v>JEMBER</v>
          </cell>
          <cell r="G152" t="str">
            <v>F</v>
          </cell>
          <cell r="H152">
            <v>44736</v>
          </cell>
          <cell r="I152" t="str">
            <v xml:space="preserve">STANDARD </v>
          </cell>
          <cell r="J152">
            <v>2012028418</v>
          </cell>
          <cell r="K152" t="str">
            <v>ARYANA TYAS SAPUTRA</v>
          </cell>
          <cell r="L152" t="str">
            <v>ATS</v>
          </cell>
          <cell r="M152">
            <v>2008420142</v>
          </cell>
          <cell r="N152" t="str">
            <v>UNDADI</v>
          </cell>
          <cell r="O152" t="str">
            <v>UDI</v>
          </cell>
          <cell r="P152" t="str">
            <v>idFSZO@jbr.indomaret.co.id</v>
          </cell>
          <cell r="Q152" t="str">
            <v>KAB. PROBOLINGGO</v>
          </cell>
          <cell r="R152" t="str">
            <v>SDS</v>
          </cell>
        </row>
        <row r="153">
          <cell r="D153" t="str">
            <v>TDTF</v>
          </cell>
          <cell r="E153" t="str">
            <v>KLASEMAN</v>
          </cell>
          <cell r="F153" t="str">
            <v>JEMBER</v>
          </cell>
          <cell r="G153" t="str">
            <v>R</v>
          </cell>
          <cell r="H153">
            <v>42566</v>
          </cell>
          <cell r="I153" t="str">
            <v xml:space="preserve">STANDARD </v>
          </cell>
          <cell r="J153">
            <v>2012028418</v>
          </cell>
          <cell r="K153" t="str">
            <v>ARYANA TYAS SAPUTRA</v>
          </cell>
          <cell r="L153" t="str">
            <v>ATS</v>
          </cell>
          <cell r="M153">
            <v>2008420142</v>
          </cell>
          <cell r="N153" t="str">
            <v>UNDADI</v>
          </cell>
          <cell r="O153" t="str">
            <v>UDI</v>
          </cell>
          <cell r="P153" t="str">
            <v>idmTDTF@jbr.indomaret.co.id</v>
          </cell>
          <cell r="Q153" t="str">
            <v>KAB. PROBOLINGGO</v>
          </cell>
          <cell r="R153" t="str">
            <v>SDS</v>
          </cell>
        </row>
        <row r="154">
          <cell r="D154" t="str">
            <v>TFBF</v>
          </cell>
          <cell r="E154" t="str">
            <v>KARANG GEGER</v>
          </cell>
          <cell r="F154" t="str">
            <v>JEMBER</v>
          </cell>
          <cell r="G154" t="str">
            <v>R</v>
          </cell>
          <cell r="H154">
            <v>42185</v>
          </cell>
          <cell r="I154" t="str">
            <v xml:space="preserve">STANDARD </v>
          </cell>
          <cell r="J154">
            <v>2012028418</v>
          </cell>
          <cell r="K154" t="str">
            <v>ARYANA TYAS SAPUTRA</v>
          </cell>
          <cell r="L154" t="str">
            <v>ATS</v>
          </cell>
          <cell r="M154">
            <v>2008420142</v>
          </cell>
          <cell r="N154" t="str">
            <v>UNDADI</v>
          </cell>
          <cell r="O154" t="str">
            <v>UDI</v>
          </cell>
          <cell r="P154" t="str">
            <v>idmTFBF@jbr.indomaret.co.id</v>
          </cell>
          <cell r="Q154" t="str">
            <v>KAB. PROBOLINGGO</v>
          </cell>
          <cell r="R154" t="str">
            <v>SDS</v>
          </cell>
        </row>
        <row r="155">
          <cell r="D155" t="str">
            <v>THZW</v>
          </cell>
          <cell r="E155" t="str">
            <v>BINOR - PBO</v>
          </cell>
          <cell r="F155" t="str">
            <v>JEMBER</v>
          </cell>
          <cell r="G155" t="str">
            <v>R</v>
          </cell>
          <cell r="H155">
            <v>43070</v>
          </cell>
          <cell r="I155" t="str">
            <v xml:space="preserve">STANDARD </v>
          </cell>
          <cell r="J155">
            <v>2012028418</v>
          </cell>
          <cell r="K155" t="str">
            <v>ARYANA TYAS SAPUTRA</v>
          </cell>
          <cell r="L155" t="str">
            <v>ATS</v>
          </cell>
          <cell r="M155">
            <v>2008420142</v>
          </cell>
          <cell r="N155" t="str">
            <v>UNDADI</v>
          </cell>
          <cell r="O155" t="str">
            <v>UDI</v>
          </cell>
          <cell r="P155" t="str">
            <v>idmTHZW@jbr.indomaret.co.id</v>
          </cell>
          <cell r="Q155" t="str">
            <v>KAB. PROBOLINGGO</v>
          </cell>
          <cell r="R155" t="str">
            <v>SDS</v>
          </cell>
        </row>
        <row r="156">
          <cell r="D156" t="str">
            <v>TKZN</v>
          </cell>
          <cell r="E156" t="str">
            <v>PAJARAKAN</v>
          </cell>
          <cell r="F156" t="str">
            <v>JEMBER</v>
          </cell>
          <cell r="G156" t="str">
            <v>R</v>
          </cell>
          <cell r="H156">
            <v>43525</v>
          </cell>
          <cell r="I156" t="str">
            <v xml:space="preserve">STANDARD </v>
          </cell>
          <cell r="J156">
            <v>2012028418</v>
          </cell>
          <cell r="K156" t="str">
            <v>ARYANA TYAS SAPUTRA</v>
          </cell>
          <cell r="L156" t="str">
            <v>ATS</v>
          </cell>
          <cell r="M156">
            <v>2008420142</v>
          </cell>
          <cell r="N156" t="str">
            <v>UNDADI</v>
          </cell>
          <cell r="O156" t="str">
            <v>UDI</v>
          </cell>
          <cell r="P156" t="str">
            <v>idmTKZN@jbr.indomaret.co.id</v>
          </cell>
          <cell r="Q156" t="str">
            <v>KAB. PROBOLINGGO</v>
          </cell>
          <cell r="R156" t="str">
            <v>SDS</v>
          </cell>
        </row>
        <row r="157">
          <cell r="D157" t="str">
            <v>TMH6</v>
          </cell>
          <cell r="E157" t="str">
            <v>KOTA ANYAR</v>
          </cell>
          <cell r="F157" t="str">
            <v>JEMBER</v>
          </cell>
          <cell r="G157" t="str">
            <v>R</v>
          </cell>
          <cell r="H157">
            <v>45535</v>
          </cell>
          <cell r="I157" t="str">
            <v>STANDARD NEW</v>
          </cell>
          <cell r="J157">
            <v>2012028418</v>
          </cell>
          <cell r="K157" t="str">
            <v>ARYANA TYAS SAPUTRA</v>
          </cell>
          <cell r="L157" t="str">
            <v>ATS</v>
          </cell>
          <cell r="M157">
            <v>2008420142</v>
          </cell>
          <cell r="N157" t="str">
            <v>UNDADI</v>
          </cell>
          <cell r="O157" t="str">
            <v>UDI</v>
          </cell>
          <cell r="P157" t="str">
            <v>idmTMH6@jbr.indomaret.co.id</v>
          </cell>
          <cell r="Q157" t="str">
            <v>KAB. PROBOLINGGO</v>
          </cell>
          <cell r="R157" t="str">
            <v>SDN</v>
          </cell>
        </row>
        <row r="158">
          <cell r="D158" t="str">
            <v>TOFU</v>
          </cell>
          <cell r="E158" t="str">
            <v>DRINGU SINTO PBO</v>
          </cell>
          <cell r="F158" t="str">
            <v>JEMBER</v>
          </cell>
          <cell r="G158" t="str">
            <v>R</v>
          </cell>
          <cell r="H158">
            <v>41790</v>
          </cell>
          <cell r="I158" t="str">
            <v xml:space="preserve">STANDARD </v>
          </cell>
          <cell r="J158">
            <v>2012028418</v>
          </cell>
          <cell r="K158" t="str">
            <v>ARYANA TYAS SAPUTRA</v>
          </cell>
          <cell r="L158" t="str">
            <v>ATS</v>
          </cell>
          <cell r="M158">
            <v>2008420142</v>
          </cell>
          <cell r="N158" t="str">
            <v>UNDADI</v>
          </cell>
          <cell r="O158" t="str">
            <v>UDI</v>
          </cell>
          <cell r="P158" t="str">
            <v>idmTOFU@jbr.indomaret.co.id</v>
          </cell>
          <cell r="Q158" t="str">
            <v>KAB. PROBOLINGGO</v>
          </cell>
          <cell r="R158" t="str">
            <v>SDS</v>
          </cell>
        </row>
        <row r="159">
          <cell r="D159" t="str">
            <v>TVUS</v>
          </cell>
          <cell r="E159" t="str">
            <v>PAITON KM 137</v>
          </cell>
          <cell r="F159" t="str">
            <v>JEMBER</v>
          </cell>
          <cell r="G159" t="str">
            <v>R</v>
          </cell>
          <cell r="H159">
            <v>41817</v>
          </cell>
          <cell r="I159" t="str">
            <v xml:space="preserve">STANDARD </v>
          </cell>
          <cell r="J159">
            <v>2012028418</v>
          </cell>
          <cell r="K159" t="str">
            <v>ARYANA TYAS SAPUTRA</v>
          </cell>
          <cell r="L159" t="str">
            <v>ATS</v>
          </cell>
          <cell r="M159">
            <v>2008420142</v>
          </cell>
          <cell r="N159" t="str">
            <v>UNDADI</v>
          </cell>
          <cell r="O159" t="str">
            <v>UDI</v>
          </cell>
          <cell r="P159" t="str">
            <v>idmTVUS@jbr.indomaret.co.id</v>
          </cell>
          <cell r="Q159" t="str">
            <v>KAB. PROBOLINGGO</v>
          </cell>
          <cell r="R159" t="str">
            <v>SDS</v>
          </cell>
        </row>
        <row r="160">
          <cell r="D160" t="str">
            <v>F55F</v>
          </cell>
          <cell r="E160" t="str">
            <v>KALIBARU</v>
          </cell>
          <cell r="F160" t="str">
            <v>JEMBER</v>
          </cell>
          <cell r="G160" t="str">
            <v>F</v>
          </cell>
          <cell r="H160">
            <v>45627</v>
          </cell>
          <cell r="I160" t="str">
            <v>STANDARD NEW</v>
          </cell>
          <cell r="J160">
            <v>1997000607</v>
          </cell>
          <cell r="K160" t="str">
            <v>ERVAN SOEBENY</v>
          </cell>
          <cell r="L160" t="str">
            <v>ESY</v>
          </cell>
          <cell r="M160">
            <v>2009046167</v>
          </cell>
          <cell r="N160" t="str">
            <v>ABDUL SUGENG PRATAMA</v>
          </cell>
          <cell r="O160" t="str">
            <v>ASA</v>
          </cell>
          <cell r="P160" t="str">
            <v>idF55F@jbr.indomaret.co.id</v>
          </cell>
          <cell r="Q160" t="str">
            <v>KAB. BANYUWANGI</v>
          </cell>
          <cell r="R160" t="str">
            <v>SDN</v>
          </cell>
        </row>
        <row r="161">
          <cell r="D161" t="str">
            <v>F58C</v>
          </cell>
          <cell r="E161" t="str">
            <v>SEMPU</v>
          </cell>
          <cell r="F161" t="str">
            <v>JEMBER</v>
          </cell>
          <cell r="G161" t="str">
            <v>F</v>
          </cell>
          <cell r="H161">
            <v>45292</v>
          </cell>
          <cell r="I161" t="str">
            <v xml:space="preserve">STANDARD </v>
          </cell>
          <cell r="J161">
            <v>1997000607</v>
          </cell>
          <cell r="K161" t="str">
            <v>ERVAN SOEBENY</v>
          </cell>
          <cell r="L161" t="str">
            <v>ESY</v>
          </cell>
          <cell r="M161">
            <v>2009046167</v>
          </cell>
          <cell r="N161" t="str">
            <v>ABDUL SUGENG PRATAMA</v>
          </cell>
          <cell r="O161" t="str">
            <v>ASA</v>
          </cell>
          <cell r="P161" t="str">
            <v>idF58C@jbr.indomaret.co.id</v>
          </cell>
          <cell r="Q161" t="str">
            <v>KAB. BANYUWANGI</v>
          </cell>
          <cell r="R161" t="str">
            <v>SDS</v>
          </cell>
        </row>
        <row r="162">
          <cell r="D162" t="str">
            <v>F7Q9</v>
          </cell>
          <cell r="E162" t="str">
            <v>TEGALSARI</v>
          </cell>
          <cell r="F162" t="str">
            <v>JEMBER</v>
          </cell>
          <cell r="G162" t="str">
            <v>F</v>
          </cell>
          <cell r="H162">
            <v>44553</v>
          </cell>
          <cell r="I162" t="str">
            <v xml:space="preserve">STANDARD </v>
          </cell>
          <cell r="J162">
            <v>1997000607</v>
          </cell>
          <cell r="K162" t="str">
            <v>ERVAN SOEBENY</v>
          </cell>
          <cell r="L162" t="str">
            <v>ESY</v>
          </cell>
          <cell r="M162">
            <v>2009046167</v>
          </cell>
          <cell r="N162" t="str">
            <v>ABDUL SUGENG PRATAMA</v>
          </cell>
          <cell r="O162" t="str">
            <v>ASA</v>
          </cell>
          <cell r="P162" t="str">
            <v>idF7Q9@jbr.indomaret.co.id</v>
          </cell>
          <cell r="Q162" t="str">
            <v>KAB. BANYUWANGI</v>
          </cell>
          <cell r="R162" t="str">
            <v>SDS</v>
          </cell>
        </row>
        <row r="163">
          <cell r="D163" t="str">
            <v>FF7X</v>
          </cell>
          <cell r="E163" t="str">
            <v>RAYA JEMBER BANYUWANGI NO. 59</v>
          </cell>
          <cell r="F163" t="str">
            <v>JEMBER</v>
          </cell>
          <cell r="G163" t="str">
            <v>F</v>
          </cell>
          <cell r="H163">
            <v>45436</v>
          </cell>
          <cell r="I163" t="str">
            <v xml:space="preserve">STANDARD </v>
          </cell>
          <cell r="J163">
            <v>1997000607</v>
          </cell>
          <cell r="K163" t="str">
            <v>ERVAN SOEBENY</v>
          </cell>
          <cell r="L163" t="str">
            <v>ESY</v>
          </cell>
          <cell r="M163">
            <v>2009046167</v>
          </cell>
          <cell r="N163" t="str">
            <v>ABDUL SUGENG PRATAMA</v>
          </cell>
          <cell r="O163" t="str">
            <v>ASA</v>
          </cell>
          <cell r="P163" t="str">
            <v>idFF7X@jbr.indomaret.co.id</v>
          </cell>
          <cell r="Q163" t="str">
            <v>KAB. BANYUWANGI</v>
          </cell>
          <cell r="R163" t="str">
            <v>SDS</v>
          </cell>
        </row>
        <row r="164">
          <cell r="D164" t="str">
            <v>FHPA</v>
          </cell>
          <cell r="E164" t="str">
            <v>YOSOMULYO</v>
          </cell>
          <cell r="F164" t="str">
            <v>JEMBER</v>
          </cell>
          <cell r="G164" t="str">
            <v>F</v>
          </cell>
          <cell r="H164">
            <v>45563</v>
          </cell>
          <cell r="I164" t="str">
            <v xml:space="preserve">STANDARD </v>
          </cell>
          <cell r="J164">
            <v>1997000607</v>
          </cell>
          <cell r="K164" t="str">
            <v>ERVAN SOEBENY</v>
          </cell>
          <cell r="L164" t="str">
            <v>ESY</v>
          </cell>
          <cell r="M164">
            <v>2009046167</v>
          </cell>
          <cell r="N164" t="str">
            <v>ABDUL SUGENG PRATAMA</v>
          </cell>
          <cell r="O164" t="str">
            <v>ASA</v>
          </cell>
          <cell r="P164" t="str">
            <v>idFHPA@jbr.indomaret.co.id</v>
          </cell>
          <cell r="Q164" t="str">
            <v>KAB. BANYUWANGI</v>
          </cell>
          <cell r="R164" t="str">
            <v>SDS</v>
          </cell>
        </row>
        <row r="165">
          <cell r="D165" t="str">
            <v>FI63</v>
          </cell>
          <cell r="E165" t="str">
            <v>WAHID HASYIM 96A</v>
          </cell>
          <cell r="F165" t="str">
            <v>JEMBER</v>
          </cell>
          <cell r="G165" t="str">
            <v>F</v>
          </cell>
          <cell r="H165">
            <v>45166</v>
          </cell>
          <cell r="I165" t="str">
            <v xml:space="preserve">STANDARD </v>
          </cell>
          <cell r="J165">
            <v>1997000607</v>
          </cell>
          <cell r="K165" t="str">
            <v>ERVAN SOEBENY</v>
          </cell>
          <cell r="L165" t="str">
            <v>ESY</v>
          </cell>
          <cell r="M165">
            <v>2009046167</v>
          </cell>
          <cell r="N165" t="str">
            <v>ABDUL SUGENG PRATAMA</v>
          </cell>
          <cell r="O165" t="str">
            <v>ASA</v>
          </cell>
          <cell r="P165" t="str">
            <v>idFI63@jbr.indomaret.co.id</v>
          </cell>
          <cell r="Q165" t="str">
            <v>KAB. BANYUWANGI</v>
          </cell>
          <cell r="R165" t="str">
            <v>SDS</v>
          </cell>
        </row>
        <row r="166">
          <cell r="D166" t="str">
            <v>FN1G</v>
          </cell>
          <cell r="E166" t="str">
            <v>KRIKILAN</v>
          </cell>
          <cell r="F166" t="str">
            <v>JEMBER</v>
          </cell>
          <cell r="G166" t="str">
            <v>F</v>
          </cell>
          <cell r="H166">
            <v>44952</v>
          </cell>
          <cell r="I166" t="str">
            <v xml:space="preserve">STANDARD </v>
          </cell>
          <cell r="J166">
            <v>1997000607</v>
          </cell>
          <cell r="K166" t="str">
            <v>ERVAN SOEBENY</v>
          </cell>
          <cell r="L166" t="str">
            <v>ESY</v>
          </cell>
          <cell r="M166">
            <v>2009046167</v>
          </cell>
          <cell r="N166" t="str">
            <v>ABDUL SUGENG PRATAMA</v>
          </cell>
          <cell r="O166" t="str">
            <v>ASA</v>
          </cell>
          <cell r="P166" t="str">
            <v>idFN1G@jbr.indomaret.co.id</v>
          </cell>
          <cell r="Q166" t="str">
            <v>KAB. BANYUWANGI</v>
          </cell>
          <cell r="R166" t="str">
            <v>SDS</v>
          </cell>
        </row>
        <row r="167">
          <cell r="D167" t="str">
            <v>FOO7</v>
          </cell>
          <cell r="E167" t="str">
            <v>HASANUDDIN GENTENG</v>
          </cell>
          <cell r="F167" t="str">
            <v>JEMBER</v>
          </cell>
          <cell r="G167" t="str">
            <v>F</v>
          </cell>
          <cell r="H167">
            <v>45026</v>
          </cell>
          <cell r="I167" t="str">
            <v>STANDARD NEW</v>
          </cell>
          <cell r="J167">
            <v>1997000607</v>
          </cell>
          <cell r="K167" t="str">
            <v>ERVAN SOEBENY</v>
          </cell>
          <cell r="L167" t="str">
            <v>ESY</v>
          </cell>
          <cell r="M167">
            <v>2009046167</v>
          </cell>
          <cell r="N167" t="str">
            <v>ABDUL SUGENG PRATAMA</v>
          </cell>
          <cell r="O167" t="str">
            <v>ASA</v>
          </cell>
          <cell r="P167" t="str">
            <v>idFOO7@jbr.indomaret.co.id</v>
          </cell>
          <cell r="Q167" t="str">
            <v>KAB. BANYUWANGI</v>
          </cell>
          <cell r="R167" t="str">
            <v>SDN</v>
          </cell>
        </row>
        <row r="168">
          <cell r="D168" t="str">
            <v>FSXL</v>
          </cell>
          <cell r="E168" t="str">
            <v>GENTENG KULON</v>
          </cell>
          <cell r="F168" t="str">
            <v>JEMBER</v>
          </cell>
          <cell r="G168" t="str">
            <v>F</v>
          </cell>
          <cell r="H168">
            <v>45501</v>
          </cell>
          <cell r="I168" t="str">
            <v xml:space="preserve">STANDARD </v>
          </cell>
          <cell r="J168">
            <v>1997000607</v>
          </cell>
          <cell r="K168" t="str">
            <v>ERVAN SOEBENY</v>
          </cell>
          <cell r="L168" t="str">
            <v>ESY</v>
          </cell>
          <cell r="M168">
            <v>2009046167</v>
          </cell>
          <cell r="N168" t="str">
            <v>ABDUL SUGENG PRATAMA</v>
          </cell>
          <cell r="O168" t="str">
            <v>ASA</v>
          </cell>
          <cell r="P168" t="str">
            <v>idFSXL@jbr.indomaret.co.id</v>
          </cell>
          <cell r="Q168" t="str">
            <v>KAB. BANYUWANGI</v>
          </cell>
          <cell r="R168" t="str">
            <v>SDS</v>
          </cell>
        </row>
        <row r="169">
          <cell r="D169" t="str">
            <v>FT68</v>
          </cell>
          <cell r="E169" t="str">
            <v>GENTENG 3 - BANYUWANGI</v>
          </cell>
          <cell r="F169" t="str">
            <v>JEMBER</v>
          </cell>
          <cell r="G169" t="str">
            <v>F</v>
          </cell>
          <cell r="H169">
            <v>44470</v>
          </cell>
          <cell r="I169" t="str">
            <v xml:space="preserve">STANDARD </v>
          </cell>
          <cell r="J169">
            <v>1997000607</v>
          </cell>
          <cell r="K169" t="str">
            <v>ERVAN SOEBENY</v>
          </cell>
          <cell r="L169" t="str">
            <v>ESY</v>
          </cell>
          <cell r="M169">
            <v>2009046167</v>
          </cell>
          <cell r="N169" t="str">
            <v>ABDUL SUGENG PRATAMA</v>
          </cell>
          <cell r="O169" t="str">
            <v>ASA</v>
          </cell>
          <cell r="P169" t="str">
            <v>idFT68@jbr.indomaret.co.id</v>
          </cell>
          <cell r="Q169" t="str">
            <v>KAB. BANYUWANGI</v>
          </cell>
          <cell r="R169" t="str">
            <v>SDS</v>
          </cell>
        </row>
        <row r="170">
          <cell r="D170" t="str">
            <v>T651</v>
          </cell>
          <cell r="E170" t="str">
            <v>GENTENG BANYUWANGI</v>
          </cell>
          <cell r="F170" t="str">
            <v>JEMBER</v>
          </cell>
          <cell r="G170" t="str">
            <v>R</v>
          </cell>
          <cell r="H170">
            <v>38223</v>
          </cell>
          <cell r="I170" t="str">
            <v xml:space="preserve">STANDARD </v>
          </cell>
          <cell r="J170">
            <v>1997000607</v>
          </cell>
          <cell r="K170" t="str">
            <v>ERVAN SOEBENY</v>
          </cell>
          <cell r="L170" t="str">
            <v>ESY</v>
          </cell>
          <cell r="M170">
            <v>2009046167</v>
          </cell>
          <cell r="N170" t="str">
            <v>ABDUL SUGENG PRATAMA</v>
          </cell>
          <cell r="O170" t="str">
            <v>ASA</v>
          </cell>
          <cell r="P170" t="str">
            <v>idmT651@jbr.indomaret.co.id</v>
          </cell>
          <cell r="Q170" t="str">
            <v>KAB. BANYUWANGI</v>
          </cell>
          <cell r="R170" t="str">
            <v>SDS</v>
          </cell>
        </row>
        <row r="171">
          <cell r="D171" t="str">
            <v>TA49</v>
          </cell>
          <cell r="E171" t="str">
            <v>GLENMORE</v>
          </cell>
          <cell r="F171" t="str">
            <v>JEMBER</v>
          </cell>
          <cell r="G171" t="str">
            <v>R</v>
          </cell>
          <cell r="H171">
            <v>39245</v>
          </cell>
          <cell r="I171" t="str">
            <v>STANDARD NEW</v>
          </cell>
          <cell r="J171">
            <v>1997000607</v>
          </cell>
          <cell r="K171" t="str">
            <v>ERVAN SOEBENY</v>
          </cell>
          <cell r="L171" t="str">
            <v>ESY</v>
          </cell>
          <cell r="M171">
            <v>2009046167</v>
          </cell>
          <cell r="N171" t="str">
            <v>ABDUL SUGENG PRATAMA</v>
          </cell>
          <cell r="O171" t="str">
            <v>ASA</v>
          </cell>
          <cell r="P171" t="str">
            <v>idmTA49@jbr.indomaret.co.id</v>
          </cell>
          <cell r="Q171" t="str">
            <v>KAB. BANYUWANGI</v>
          </cell>
          <cell r="R171" t="str">
            <v>SDN</v>
          </cell>
        </row>
        <row r="172">
          <cell r="D172" t="str">
            <v>TAL7</v>
          </cell>
          <cell r="E172" t="str">
            <v>GENTENG 4 - BANYUWANGI</v>
          </cell>
          <cell r="F172" t="str">
            <v>JEMBER</v>
          </cell>
          <cell r="G172" t="str">
            <v>R</v>
          </cell>
          <cell r="H172">
            <v>40052</v>
          </cell>
          <cell r="I172" t="str">
            <v>STANDARD NEW</v>
          </cell>
          <cell r="J172">
            <v>1997000607</v>
          </cell>
          <cell r="K172" t="str">
            <v>ERVAN SOEBENY</v>
          </cell>
          <cell r="L172" t="str">
            <v>ESY</v>
          </cell>
          <cell r="M172">
            <v>2009046167</v>
          </cell>
          <cell r="N172" t="str">
            <v>ABDUL SUGENG PRATAMA</v>
          </cell>
          <cell r="O172" t="str">
            <v>ASA</v>
          </cell>
          <cell r="P172" t="str">
            <v>idmTAL7@jbr.indomaret.co.id</v>
          </cell>
          <cell r="Q172" t="str">
            <v>KAB. BANYUWANGI</v>
          </cell>
          <cell r="R172" t="str">
            <v>SDN</v>
          </cell>
        </row>
        <row r="173">
          <cell r="D173" t="str">
            <v>F7J7</v>
          </cell>
          <cell r="E173" t="str">
            <v>GUNUNG BATU JEMBER</v>
          </cell>
          <cell r="F173" t="str">
            <v>JEMBER</v>
          </cell>
          <cell r="G173" t="str">
            <v>F</v>
          </cell>
          <cell r="H173">
            <v>44941</v>
          </cell>
          <cell r="I173" t="str">
            <v xml:space="preserve">STANDARD </v>
          </cell>
          <cell r="J173">
            <v>1997000607</v>
          </cell>
          <cell r="K173" t="str">
            <v>ERVAN SOEBENY</v>
          </cell>
          <cell r="L173" t="str">
            <v>ESY</v>
          </cell>
          <cell r="M173">
            <v>2012025600</v>
          </cell>
          <cell r="N173" t="str">
            <v>DISA SWAMBARA</v>
          </cell>
          <cell r="O173" t="str">
            <v>DSA</v>
          </cell>
          <cell r="P173" t="str">
            <v>idF7J7@jbr.indomaret.co.id</v>
          </cell>
          <cell r="Q173" t="str">
            <v>KAB. JEMBER</v>
          </cell>
          <cell r="R173" t="str">
            <v>SDS</v>
          </cell>
        </row>
        <row r="174">
          <cell r="D174" t="str">
            <v>FASH</v>
          </cell>
          <cell r="E174" t="str">
            <v>KARIMATA - JEMBER</v>
          </cell>
          <cell r="F174" t="str">
            <v>JEMBER</v>
          </cell>
          <cell r="G174" t="str">
            <v>F</v>
          </cell>
          <cell r="H174">
            <v>45137</v>
          </cell>
          <cell r="I174" t="str">
            <v>STANDARD NEW</v>
          </cell>
          <cell r="J174">
            <v>1997000607</v>
          </cell>
          <cell r="K174" t="str">
            <v>ERVAN SOEBENY</v>
          </cell>
          <cell r="L174" t="str">
            <v>ESY</v>
          </cell>
          <cell r="M174">
            <v>2012025600</v>
          </cell>
          <cell r="N174" t="str">
            <v>DISA SWAMBARA</v>
          </cell>
          <cell r="O174" t="str">
            <v>DSA</v>
          </cell>
          <cell r="P174" t="str">
            <v>idFASH@jbr.indomaret.co.id</v>
          </cell>
          <cell r="Q174" t="str">
            <v>KAB. JEMBER</v>
          </cell>
          <cell r="R174" t="str">
            <v>SDN</v>
          </cell>
        </row>
        <row r="175">
          <cell r="D175" t="str">
            <v>FR46</v>
          </cell>
          <cell r="E175" t="str">
            <v>SUMBERSARI - JEMBER</v>
          </cell>
          <cell r="F175" t="str">
            <v>JEMBER</v>
          </cell>
          <cell r="G175" t="str">
            <v>F</v>
          </cell>
          <cell r="H175">
            <v>45759</v>
          </cell>
          <cell r="I175" t="str">
            <v xml:space="preserve">STANDARD </v>
          </cell>
          <cell r="J175">
            <v>1997000607</v>
          </cell>
          <cell r="K175" t="str">
            <v>ERVAN SOEBENY</v>
          </cell>
          <cell r="L175" t="str">
            <v>ESY</v>
          </cell>
          <cell r="M175">
            <v>2012025600</v>
          </cell>
          <cell r="N175" t="str">
            <v>DISA SWAMBARA</v>
          </cell>
          <cell r="O175" t="str">
            <v>DSA</v>
          </cell>
          <cell r="P175" t="str">
            <v>idFR46@jbr.indomaret.co.id</v>
          </cell>
          <cell r="Q175" t="str">
            <v>KAB. JEMBER</v>
          </cell>
          <cell r="R175" t="str">
            <v>SDS</v>
          </cell>
        </row>
        <row r="176">
          <cell r="D176" t="str">
            <v>FTP5</v>
          </cell>
          <cell r="E176" t="str">
            <v>SEMERU - JEMBER</v>
          </cell>
          <cell r="F176" t="str">
            <v>JEMBER</v>
          </cell>
          <cell r="G176" t="str">
            <v>F</v>
          </cell>
          <cell r="H176">
            <v>44720</v>
          </cell>
          <cell r="I176" t="str">
            <v xml:space="preserve">STANDARD </v>
          </cell>
          <cell r="J176">
            <v>1997000607</v>
          </cell>
          <cell r="K176" t="str">
            <v>ERVAN SOEBENY</v>
          </cell>
          <cell r="L176" t="str">
            <v>ESY</v>
          </cell>
          <cell r="M176">
            <v>2012025600</v>
          </cell>
          <cell r="N176" t="str">
            <v>DISA SWAMBARA</v>
          </cell>
          <cell r="O176" t="str">
            <v>DSA</v>
          </cell>
          <cell r="P176" t="str">
            <v>idFTP5@jbr.indomaret.co.id</v>
          </cell>
          <cell r="Q176" t="str">
            <v>KAB. JEMBER</v>
          </cell>
          <cell r="R176" t="str">
            <v>SDS</v>
          </cell>
        </row>
        <row r="177">
          <cell r="D177" t="str">
            <v>T12A</v>
          </cell>
          <cell r="E177" t="str">
            <v>WIROLEGI</v>
          </cell>
          <cell r="F177" t="str">
            <v>JEMBER</v>
          </cell>
          <cell r="G177" t="str">
            <v>R</v>
          </cell>
          <cell r="H177">
            <v>39750</v>
          </cell>
          <cell r="I177" t="str">
            <v xml:space="preserve">STANDARD </v>
          </cell>
          <cell r="J177">
            <v>1997000607</v>
          </cell>
          <cell r="K177" t="str">
            <v>ERVAN SOEBENY</v>
          </cell>
          <cell r="L177" t="str">
            <v>ESY</v>
          </cell>
          <cell r="M177">
            <v>2012025600</v>
          </cell>
          <cell r="N177" t="str">
            <v>DISA SWAMBARA</v>
          </cell>
          <cell r="O177" t="str">
            <v>DSA</v>
          </cell>
          <cell r="P177" t="str">
            <v>idmT12A@jbr.indomaret.co.id</v>
          </cell>
          <cell r="Q177" t="str">
            <v>KAB. JEMBER</v>
          </cell>
          <cell r="R177" t="str">
            <v>SDS</v>
          </cell>
        </row>
        <row r="178">
          <cell r="D178" t="str">
            <v>TA06</v>
          </cell>
          <cell r="E178" t="str">
            <v>S PARMAN - JEMBER</v>
          </cell>
          <cell r="F178" t="str">
            <v>JEMBER</v>
          </cell>
          <cell r="G178" t="str">
            <v>R</v>
          </cell>
          <cell r="H178">
            <v>38960</v>
          </cell>
          <cell r="I178" t="str">
            <v xml:space="preserve">STANDARD </v>
          </cell>
          <cell r="J178">
            <v>1997000607</v>
          </cell>
          <cell r="K178" t="str">
            <v>ERVAN SOEBENY</v>
          </cell>
          <cell r="L178" t="str">
            <v>ESY</v>
          </cell>
          <cell r="M178">
            <v>2012025600</v>
          </cell>
          <cell r="N178" t="str">
            <v>DISA SWAMBARA</v>
          </cell>
          <cell r="O178" t="str">
            <v>DSA</v>
          </cell>
          <cell r="P178" t="str">
            <v>idmTA06@jbr.indomaret.co.id</v>
          </cell>
          <cell r="Q178" t="str">
            <v>KAB. JEMBER</v>
          </cell>
          <cell r="R178" t="str">
            <v>SDS</v>
          </cell>
        </row>
        <row r="179">
          <cell r="D179" t="str">
            <v>TAK4</v>
          </cell>
          <cell r="E179" t="str">
            <v>JAWA 44 - JEMBER</v>
          </cell>
          <cell r="F179" t="str">
            <v>JEMBER</v>
          </cell>
          <cell r="G179" t="str">
            <v>R</v>
          </cell>
          <cell r="H179">
            <v>42698</v>
          </cell>
          <cell r="I179" t="str">
            <v>STANDARD NEW</v>
          </cell>
          <cell r="J179">
            <v>1997000607</v>
          </cell>
          <cell r="K179" t="str">
            <v>ERVAN SOEBENY</v>
          </cell>
          <cell r="L179" t="str">
            <v>ESY</v>
          </cell>
          <cell r="M179">
            <v>2012025600</v>
          </cell>
          <cell r="N179" t="str">
            <v>DISA SWAMBARA</v>
          </cell>
          <cell r="O179" t="str">
            <v>DSA</v>
          </cell>
          <cell r="P179" t="str">
            <v>idmTAK4@jbr.indomaret.co.id</v>
          </cell>
          <cell r="Q179" t="str">
            <v>KAB. JEMBER</v>
          </cell>
          <cell r="R179" t="str">
            <v>SDN</v>
          </cell>
        </row>
        <row r="180">
          <cell r="D180" t="str">
            <v>TIRY</v>
          </cell>
          <cell r="E180" t="str">
            <v>PAKUSARI JEMBER</v>
          </cell>
          <cell r="F180" t="str">
            <v>JEMBER</v>
          </cell>
          <cell r="G180" t="str">
            <v>R</v>
          </cell>
          <cell r="H180">
            <v>43709</v>
          </cell>
          <cell r="I180" t="str">
            <v>STANDARD NEW</v>
          </cell>
          <cell r="J180">
            <v>1997000607</v>
          </cell>
          <cell r="K180" t="str">
            <v>ERVAN SOEBENY</v>
          </cell>
          <cell r="L180" t="str">
            <v>ESY</v>
          </cell>
          <cell r="M180">
            <v>2012025600</v>
          </cell>
          <cell r="N180" t="str">
            <v>DISA SWAMBARA</v>
          </cell>
          <cell r="O180" t="str">
            <v>DSA</v>
          </cell>
          <cell r="P180" t="str">
            <v>idmTIRY@jbr.indomaret.co.id</v>
          </cell>
          <cell r="Q180" t="str">
            <v>KAB. JEMBER</v>
          </cell>
          <cell r="R180" t="str">
            <v>SDN</v>
          </cell>
        </row>
        <row r="181">
          <cell r="D181" t="str">
            <v>TMAU</v>
          </cell>
          <cell r="E181" t="str">
            <v>KAMPUS JAWA</v>
          </cell>
          <cell r="F181" t="str">
            <v>JEMBER</v>
          </cell>
          <cell r="G181" t="str">
            <v>R</v>
          </cell>
          <cell r="H181">
            <v>42356</v>
          </cell>
          <cell r="I181" t="str">
            <v xml:space="preserve">STANDARD </v>
          </cell>
          <cell r="J181">
            <v>1997000607</v>
          </cell>
          <cell r="K181" t="str">
            <v>ERVAN SOEBENY</v>
          </cell>
          <cell r="L181" t="str">
            <v>ESY</v>
          </cell>
          <cell r="M181">
            <v>2012025600</v>
          </cell>
          <cell r="N181" t="str">
            <v>DISA SWAMBARA</v>
          </cell>
          <cell r="O181" t="str">
            <v>DSA</v>
          </cell>
          <cell r="P181" t="str">
            <v>idmTMAU@jbr.indomaret.co.id</v>
          </cell>
          <cell r="Q181" t="str">
            <v>KAB. JEMBER</v>
          </cell>
          <cell r="R181" t="str">
            <v>SDS</v>
          </cell>
        </row>
        <row r="182">
          <cell r="D182" t="str">
            <v>TOJY</v>
          </cell>
          <cell r="E182" t="str">
            <v>RIAU - JEMBER</v>
          </cell>
          <cell r="F182" t="str">
            <v>JEMBER</v>
          </cell>
          <cell r="G182" t="str">
            <v>R</v>
          </cell>
          <cell r="H182">
            <v>41974</v>
          </cell>
          <cell r="I182" t="str">
            <v xml:space="preserve">STANDARD </v>
          </cell>
          <cell r="J182">
            <v>1997000607</v>
          </cell>
          <cell r="K182" t="str">
            <v>ERVAN SOEBENY</v>
          </cell>
          <cell r="L182" t="str">
            <v>ESY</v>
          </cell>
          <cell r="M182">
            <v>2012025600</v>
          </cell>
          <cell r="N182" t="str">
            <v>DISA SWAMBARA</v>
          </cell>
          <cell r="O182" t="str">
            <v>DSA</v>
          </cell>
          <cell r="P182" t="str">
            <v>idmTOJY@jbr.indomaret.co.id</v>
          </cell>
          <cell r="Q182" t="str">
            <v>KAB. JEMBER</v>
          </cell>
          <cell r="R182" t="str">
            <v>SDS</v>
          </cell>
        </row>
        <row r="183">
          <cell r="D183" t="str">
            <v>TP4O</v>
          </cell>
          <cell r="E183" t="str">
            <v>PAJAJARAN - JBR</v>
          </cell>
          <cell r="F183" t="str">
            <v>JEMBER</v>
          </cell>
          <cell r="G183" t="str">
            <v>R</v>
          </cell>
          <cell r="H183">
            <v>40876</v>
          </cell>
          <cell r="I183" t="str">
            <v xml:space="preserve">STANDARD </v>
          </cell>
          <cell r="J183">
            <v>1997000607</v>
          </cell>
          <cell r="K183" t="str">
            <v>ERVAN SOEBENY</v>
          </cell>
          <cell r="L183" t="str">
            <v>ESY</v>
          </cell>
          <cell r="M183">
            <v>2012025600</v>
          </cell>
          <cell r="N183" t="str">
            <v>DISA SWAMBARA</v>
          </cell>
          <cell r="O183" t="str">
            <v>DSA</v>
          </cell>
          <cell r="P183" t="str">
            <v>idmTP4O@jbr.indomaret.co.id</v>
          </cell>
          <cell r="Q183" t="str">
            <v>KAB. JEMBER</v>
          </cell>
          <cell r="R183" t="str">
            <v>SDS</v>
          </cell>
        </row>
        <row r="184">
          <cell r="D184" t="str">
            <v>F21R</v>
          </cell>
          <cell r="E184" t="str">
            <v>KALIMANTAN</v>
          </cell>
          <cell r="F184" t="str">
            <v>JEMBER</v>
          </cell>
          <cell r="G184" t="str">
            <v>F</v>
          </cell>
          <cell r="H184">
            <v>44835</v>
          </cell>
          <cell r="I184" t="str">
            <v xml:space="preserve">STANDARD </v>
          </cell>
          <cell r="J184">
            <v>1997000607</v>
          </cell>
          <cell r="K184" t="str">
            <v>ERVAN SOEBENY</v>
          </cell>
          <cell r="L184" t="str">
            <v>ESY</v>
          </cell>
          <cell r="M184">
            <v>2012075323</v>
          </cell>
          <cell r="N184" t="str">
            <v>MOCHAMAD RIZAL</v>
          </cell>
          <cell r="O184" t="str">
            <v>MRZ</v>
          </cell>
          <cell r="P184" t="str">
            <v>idF21R@jbr.indomaret.co.id</v>
          </cell>
          <cell r="Q184" t="str">
            <v>KAB. JEMBER</v>
          </cell>
          <cell r="R184" t="str">
            <v>SDS</v>
          </cell>
        </row>
        <row r="185">
          <cell r="D185" t="str">
            <v>F6XX</v>
          </cell>
          <cell r="E185" t="str">
            <v>RAYA KALIMANTAN</v>
          </cell>
          <cell r="F185" t="str">
            <v>JEMBER</v>
          </cell>
          <cell r="G185" t="str">
            <v>F</v>
          </cell>
          <cell r="H185">
            <v>44831</v>
          </cell>
          <cell r="I185" t="str">
            <v xml:space="preserve">STANDARD </v>
          </cell>
          <cell r="J185">
            <v>1997000607</v>
          </cell>
          <cell r="K185" t="str">
            <v>ERVAN SOEBENY</v>
          </cell>
          <cell r="L185" t="str">
            <v>ESY</v>
          </cell>
          <cell r="M185">
            <v>2012075323</v>
          </cell>
          <cell r="N185" t="str">
            <v>MOCHAMAD RIZAL</v>
          </cell>
          <cell r="O185" t="str">
            <v>MRZ</v>
          </cell>
          <cell r="P185" t="str">
            <v>idF6XX@jbr.indomaret.co.id</v>
          </cell>
          <cell r="Q185" t="str">
            <v>KAB. JEMBER</v>
          </cell>
          <cell r="R185" t="str">
            <v>SDS</v>
          </cell>
        </row>
        <row r="186">
          <cell r="D186" t="str">
            <v>FC71</v>
          </cell>
          <cell r="E186" t="str">
            <v>SUMATERA  - JEMBER</v>
          </cell>
          <cell r="F186" t="str">
            <v>JEMBER</v>
          </cell>
          <cell r="G186" t="str">
            <v>F</v>
          </cell>
          <cell r="H186">
            <v>45427</v>
          </cell>
          <cell r="I186" t="str">
            <v xml:space="preserve">STANDARD </v>
          </cell>
          <cell r="J186">
            <v>1997000607</v>
          </cell>
          <cell r="K186" t="str">
            <v>ERVAN SOEBENY</v>
          </cell>
          <cell r="L186" t="str">
            <v>ESY</v>
          </cell>
          <cell r="M186">
            <v>2012075323</v>
          </cell>
          <cell r="N186" t="str">
            <v>MOCHAMAD RIZAL</v>
          </cell>
          <cell r="O186" t="str">
            <v>MRZ</v>
          </cell>
          <cell r="P186" t="str">
            <v>idFC71@jbr.indomaret.co.id</v>
          </cell>
          <cell r="Q186" t="str">
            <v>KAB. JEMBER</v>
          </cell>
          <cell r="R186" t="str">
            <v>SDS</v>
          </cell>
        </row>
        <row r="187">
          <cell r="D187" t="str">
            <v>FDYI</v>
          </cell>
          <cell r="E187" t="str">
            <v>RAYA SUMATRA</v>
          </cell>
          <cell r="F187" t="str">
            <v>JEMBER</v>
          </cell>
          <cell r="G187" t="str">
            <v>F</v>
          </cell>
          <cell r="H187">
            <v>44879</v>
          </cell>
          <cell r="I187" t="str">
            <v xml:space="preserve">STANDARD </v>
          </cell>
          <cell r="J187">
            <v>1997000607</v>
          </cell>
          <cell r="K187" t="str">
            <v>ERVAN SOEBENY</v>
          </cell>
          <cell r="L187" t="str">
            <v>ESY</v>
          </cell>
          <cell r="M187">
            <v>2012075323</v>
          </cell>
          <cell r="N187" t="str">
            <v>MOCHAMAD RIZAL</v>
          </cell>
          <cell r="O187" t="str">
            <v>MRZ</v>
          </cell>
          <cell r="P187" t="str">
            <v>idFDYI@jbr.indomaret.co.id</v>
          </cell>
          <cell r="Q187" t="str">
            <v>KAB. JEMBER</v>
          </cell>
          <cell r="R187" t="str">
            <v>SDS</v>
          </cell>
        </row>
        <row r="188">
          <cell r="D188" t="str">
            <v>FKII</v>
          </cell>
          <cell r="E188" t="str">
            <v>MOH. YAMIN JBR</v>
          </cell>
          <cell r="F188" t="str">
            <v>JEMBER</v>
          </cell>
          <cell r="G188" t="str">
            <v>F</v>
          </cell>
          <cell r="H188">
            <v>45413</v>
          </cell>
          <cell r="I188" t="str">
            <v xml:space="preserve">STANDARD </v>
          </cell>
          <cell r="J188">
            <v>1997000607</v>
          </cell>
          <cell r="K188" t="str">
            <v>ERVAN SOEBENY</v>
          </cell>
          <cell r="L188" t="str">
            <v>ESY</v>
          </cell>
          <cell r="M188">
            <v>2012075323</v>
          </cell>
          <cell r="N188" t="str">
            <v>MOCHAMAD RIZAL</v>
          </cell>
          <cell r="O188" t="str">
            <v>MRZ</v>
          </cell>
          <cell r="P188" t="str">
            <v>idFKII@jbr.indomaret.co.id</v>
          </cell>
          <cell r="Q188" t="str">
            <v>KAB. JEMBER</v>
          </cell>
          <cell r="R188" t="str">
            <v>SDS</v>
          </cell>
        </row>
        <row r="189">
          <cell r="D189" t="str">
            <v>FT37</v>
          </cell>
          <cell r="E189" t="str">
            <v>TEUKU UMAR JEMBER</v>
          </cell>
          <cell r="F189" t="str">
            <v>JEMBER</v>
          </cell>
          <cell r="G189" t="str">
            <v>F</v>
          </cell>
          <cell r="H189">
            <v>44431</v>
          </cell>
          <cell r="I189" t="str">
            <v xml:space="preserve">STANDARD </v>
          </cell>
          <cell r="J189">
            <v>1997000607</v>
          </cell>
          <cell r="K189" t="str">
            <v>ERVAN SOEBENY</v>
          </cell>
          <cell r="L189" t="str">
            <v>ESY</v>
          </cell>
          <cell r="M189">
            <v>2012075323</v>
          </cell>
          <cell r="N189" t="str">
            <v>MOCHAMAD RIZAL</v>
          </cell>
          <cell r="O189" t="str">
            <v>MRZ</v>
          </cell>
          <cell r="P189" t="str">
            <v>idFT37@jbr.indomaret.co.id</v>
          </cell>
          <cell r="Q189" t="str">
            <v>KAB. JEMBER</v>
          </cell>
          <cell r="R189" t="str">
            <v>SDS</v>
          </cell>
        </row>
        <row r="190">
          <cell r="D190" t="str">
            <v>T656</v>
          </cell>
          <cell r="E190" t="str">
            <v>LETJEN SUPRAPTO - JEMBER</v>
          </cell>
          <cell r="F190" t="str">
            <v>JEMBER</v>
          </cell>
          <cell r="G190" t="str">
            <v>R</v>
          </cell>
          <cell r="H190">
            <v>38265</v>
          </cell>
          <cell r="I190" t="str">
            <v>STANDARD NEW</v>
          </cell>
          <cell r="J190">
            <v>1997000607</v>
          </cell>
          <cell r="K190" t="str">
            <v>ERVAN SOEBENY</v>
          </cell>
          <cell r="L190" t="str">
            <v>ESY</v>
          </cell>
          <cell r="M190">
            <v>2012075323</v>
          </cell>
          <cell r="N190" t="str">
            <v>MOCHAMAD RIZAL</v>
          </cell>
          <cell r="O190" t="str">
            <v>MRZ</v>
          </cell>
          <cell r="P190" t="str">
            <v>idmT656@jbr.indomaret.co.id</v>
          </cell>
          <cell r="Q190" t="str">
            <v>KAB. JEMBER</v>
          </cell>
          <cell r="R190" t="str">
            <v>SDN</v>
          </cell>
        </row>
        <row r="191">
          <cell r="D191" t="str">
            <v>TCOH</v>
          </cell>
          <cell r="E191" t="str">
            <v>MH.TAMRIN</v>
          </cell>
          <cell r="F191" t="str">
            <v>JEMBER</v>
          </cell>
          <cell r="G191" t="str">
            <v>R</v>
          </cell>
          <cell r="H191">
            <v>42246</v>
          </cell>
          <cell r="I191" t="str">
            <v>STANDARD NEW</v>
          </cell>
          <cell r="J191">
            <v>1997000607</v>
          </cell>
          <cell r="K191" t="str">
            <v>ERVAN SOEBENY</v>
          </cell>
          <cell r="L191" t="str">
            <v>ESY</v>
          </cell>
          <cell r="M191">
            <v>2012075323</v>
          </cell>
          <cell r="N191" t="str">
            <v>MOCHAMAD RIZAL</v>
          </cell>
          <cell r="O191" t="str">
            <v>MRZ</v>
          </cell>
          <cell r="P191" t="str">
            <v>idmTCOH@jbr.indomaret.co.id</v>
          </cell>
          <cell r="Q191" t="str">
            <v>KAB. JEMBER</v>
          </cell>
          <cell r="R191" t="str">
            <v>SDN</v>
          </cell>
        </row>
        <row r="192">
          <cell r="D192" t="str">
            <v>TKEG</v>
          </cell>
          <cell r="E192" t="str">
            <v>GLADAK PAKEM - JEMBER</v>
          </cell>
          <cell r="F192" t="str">
            <v>JEMBER</v>
          </cell>
          <cell r="G192" t="str">
            <v>R</v>
          </cell>
          <cell r="H192">
            <v>41452</v>
          </cell>
          <cell r="I192" t="str">
            <v>STANDARD NEW</v>
          </cell>
          <cell r="J192">
            <v>1997000607</v>
          </cell>
          <cell r="K192" t="str">
            <v>ERVAN SOEBENY</v>
          </cell>
          <cell r="L192" t="str">
            <v>ESY</v>
          </cell>
          <cell r="M192">
            <v>2012075323</v>
          </cell>
          <cell r="N192" t="str">
            <v>MOCHAMAD RIZAL</v>
          </cell>
          <cell r="O192" t="str">
            <v>MRZ</v>
          </cell>
          <cell r="P192" t="str">
            <v>idmTKEG@jbr.indomaret.co.id</v>
          </cell>
          <cell r="Q192" t="str">
            <v>KAB. JEMBER</v>
          </cell>
          <cell r="R192" t="str">
            <v>SDN</v>
          </cell>
        </row>
        <row r="193">
          <cell r="D193" t="str">
            <v>TQND</v>
          </cell>
          <cell r="E193" t="str">
            <v>GRAHA CITRA MAS</v>
          </cell>
          <cell r="F193" t="str">
            <v>JEMBER</v>
          </cell>
          <cell r="G193" t="str">
            <v>R</v>
          </cell>
          <cell r="H193">
            <v>42369</v>
          </cell>
          <cell r="I193" t="str">
            <v xml:space="preserve">STANDARD </v>
          </cell>
          <cell r="J193">
            <v>1997000607</v>
          </cell>
          <cell r="K193" t="str">
            <v>ERVAN SOEBENY</v>
          </cell>
          <cell r="L193" t="str">
            <v>ESY</v>
          </cell>
          <cell r="M193">
            <v>2012075323</v>
          </cell>
          <cell r="N193" t="str">
            <v>MOCHAMAD RIZAL</v>
          </cell>
          <cell r="O193" t="str">
            <v>MRZ</v>
          </cell>
          <cell r="P193" t="str">
            <v>idmTQND@jbr.indomaret.co.id</v>
          </cell>
          <cell r="Q193" t="str">
            <v>KAB. JEMBER</v>
          </cell>
          <cell r="R193" t="str">
            <v>SDS</v>
          </cell>
        </row>
        <row r="194">
          <cell r="D194" t="str">
            <v>TXII</v>
          </cell>
          <cell r="E194" t="str">
            <v>RAYA PB. SUDIRMAN</v>
          </cell>
          <cell r="F194" t="str">
            <v>JEMBER</v>
          </cell>
          <cell r="G194" t="str">
            <v>R</v>
          </cell>
          <cell r="H194">
            <v>41237</v>
          </cell>
          <cell r="I194" t="str">
            <v>STANDARD NEW</v>
          </cell>
          <cell r="J194">
            <v>1997000607</v>
          </cell>
          <cell r="K194" t="str">
            <v>ERVAN SOEBENY</v>
          </cell>
          <cell r="L194" t="str">
            <v>ESY</v>
          </cell>
          <cell r="M194">
            <v>2012075323</v>
          </cell>
          <cell r="N194" t="str">
            <v>MOCHAMAD RIZAL</v>
          </cell>
          <cell r="O194" t="str">
            <v>MRZ</v>
          </cell>
          <cell r="P194" t="str">
            <v>idmTXII@jbr.indomaret.co.id</v>
          </cell>
          <cell r="Q194" t="str">
            <v>KAB. JEMBER</v>
          </cell>
          <cell r="R194" t="str">
            <v>SDN</v>
          </cell>
        </row>
        <row r="195">
          <cell r="D195" t="str">
            <v>F462</v>
          </cell>
          <cell r="E195" t="str">
            <v>KALISAT JEMBER</v>
          </cell>
          <cell r="F195" t="str">
            <v>JEMBER</v>
          </cell>
          <cell r="G195" t="str">
            <v>F</v>
          </cell>
          <cell r="H195">
            <v>45825</v>
          </cell>
          <cell r="I195" t="str">
            <v xml:space="preserve">STANDARD </v>
          </cell>
          <cell r="J195">
            <v>1997000607</v>
          </cell>
          <cell r="K195" t="str">
            <v>ERVAN SOEBENY</v>
          </cell>
          <cell r="L195" t="str">
            <v>ESY</v>
          </cell>
          <cell r="M195">
            <v>2005008244</v>
          </cell>
          <cell r="N195" t="str">
            <v>RINA SUKMANINGATI THOMAS</v>
          </cell>
          <cell r="O195" t="str">
            <v>RAS</v>
          </cell>
          <cell r="P195" t="str">
            <v>idF462@jbr.indomaret.co.id</v>
          </cell>
          <cell r="Q195" t="str">
            <v>KAB. JEMBER</v>
          </cell>
          <cell r="R195" t="str">
            <v>SDS</v>
          </cell>
        </row>
        <row r="196">
          <cell r="D196" t="str">
            <v>FPUG</v>
          </cell>
          <cell r="E196" t="str">
            <v>DANAU TOBA  JEMBER</v>
          </cell>
          <cell r="F196" t="str">
            <v>JEMBER</v>
          </cell>
          <cell r="G196" t="str">
            <v>F</v>
          </cell>
          <cell r="H196">
            <v>44378</v>
          </cell>
          <cell r="I196" t="str">
            <v xml:space="preserve">STANDARD </v>
          </cell>
          <cell r="J196">
            <v>1997000607</v>
          </cell>
          <cell r="K196" t="str">
            <v>ERVAN SOEBENY</v>
          </cell>
          <cell r="L196" t="str">
            <v>ESY</v>
          </cell>
          <cell r="M196">
            <v>2005008244</v>
          </cell>
          <cell r="N196" t="str">
            <v>RINA SUKMANINGATI THOMAS</v>
          </cell>
          <cell r="O196" t="str">
            <v>RAS</v>
          </cell>
          <cell r="P196" t="str">
            <v>idFPUG@jbr.indomaret.co.id</v>
          </cell>
          <cell r="Q196" t="str">
            <v>KAB. JEMBER</v>
          </cell>
          <cell r="R196" t="str">
            <v>SDS</v>
          </cell>
        </row>
        <row r="197">
          <cell r="D197" t="str">
            <v>FYEK</v>
          </cell>
          <cell r="E197" t="str">
            <v>SRIWIJAYA - JEMBER</v>
          </cell>
          <cell r="F197" t="str">
            <v>JEMBER</v>
          </cell>
          <cell r="G197" t="str">
            <v>F</v>
          </cell>
          <cell r="H197">
            <v>44958</v>
          </cell>
          <cell r="I197" t="str">
            <v xml:space="preserve">STANDARD </v>
          </cell>
          <cell r="J197">
            <v>1997000607</v>
          </cell>
          <cell r="K197" t="str">
            <v>ERVAN SOEBENY</v>
          </cell>
          <cell r="L197" t="str">
            <v>ESY</v>
          </cell>
          <cell r="M197">
            <v>2005008244</v>
          </cell>
          <cell r="N197" t="str">
            <v>RINA SUKMANINGATI THOMAS</v>
          </cell>
          <cell r="O197" t="str">
            <v>RAS</v>
          </cell>
          <cell r="P197" t="str">
            <v>idFYEK@jbr.indomaret.co.id</v>
          </cell>
          <cell r="Q197" t="str">
            <v>KAB. JEMBER</v>
          </cell>
          <cell r="R197" t="str">
            <v>SDS</v>
          </cell>
        </row>
        <row r="198">
          <cell r="D198" t="str">
            <v>TA00</v>
          </cell>
          <cell r="E198" t="str">
            <v>BARATAN</v>
          </cell>
          <cell r="F198" t="str">
            <v>JEMBER</v>
          </cell>
          <cell r="G198" t="str">
            <v>R</v>
          </cell>
          <cell r="H198">
            <v>39629</v>
          </cell>
          <cell r="I198" t="str">
            <v xml:space="preserve">STANDARD </v>
          </cell>
          <cell r="J198">
            <v>1997000607</v>
          </cell>
          <cell r="K198" t="str">
            <v>ERVAN SOEBENY</v>
          </cell>
          <cell r="L198" t="str">
            <v>ESY</v>
          </cell>
          <cell r="M198">
            <v>2005008244</v>
          </cell>
          <cell r="N198" t="str">
            <v>RINA SUKMANINGATI THOMAS</v>
          </cell>
          <cell r="O198" t="str">
            <v>RAS</v>
          </cell>
          <cell r="P198" t="str">
            <v>idmTA00@jbr.indomaret.co.id</v>
          </cell>
          <cell r="Q198" t="str">
            <v>KAB. JEMBER</v>
          </cell>
          <cell r="R198" t="str">
            <v>SDS</v>
          </cell>
        </row>
        <row r="199">
          <cell r="D199" t="str">
            <v>TAJG</v>
          </cell>
          <cell r="E199" t="str">
            <v>PANDORA MASTRIP</v>
          </cell>
          <cell r="F199" t="str">
            <v>JEMBER</v>
          </cell>
          <cell r="G199" t="str">
            <v>R</v>
          </cell>
          <cell r="H199">
            <v>42369</v>
          </cell>
          <cell r="I199" t="str">
            <v>STANDARD NEW</v>
          </cell>
          <cell r="J199">
            <v>1997000607</v>
          </cell>
          <cell r="K199" t="str">
            <v>ERVAN SOEBENY</v>
          </cell>
          <cell r="L199" t="str">
            <v>ESY</v>
          </cell>
          <cell r="M199">
            <v>2005008244</v>
          </cell>
          <cell r="N199" t="str">
            <v>RINA SUKMANINGATI THOMAS</v>
          </cell>
          <cell r="O199" t="str">
            <v>RAS</v>
          </cell>
          <cell r="P199" t="str">
            <v>idmTAJG@jbr.indomaret.co.id</v>
          </cell>
          <cell r="Q199" t="str">
            <v>KAB. JEMBER</v>
          </cell>
          <cell r="R199" t="str">
            <v>SDN</v>
          </cell>
        </row>
        <row r="200">
          <cell r="D200" t="str">
            <v>THXB</v>
          </cell>
          <cell r="E200" t="str">
            <v>AJUNG KALISAT - JBR</v>
          </cell>
          <cell r="F200" t="str">
            <v>JEMBER</v>
          </cell>
          <cell r="G200" t="str">
            <v>R</v>
          </cell>
          <cell r="H200">
            <v>40877</v>
          </cell>
          <cell r="I200" t="str">
            <v xml:space="preserve">STANDARD </v>
          </cell>
          <cell r="J200">
            <v>1997000607</v>
          </cell>
          <cell r="K200" t="str">
            <v>ERVAN SOEBENY</v>
          </cell>
          <cell r="L200" t="str">
            <v>ESY</v>
          </cell>
          <cell r="M200">
            <v>2005008244</v>
          </cell>
          <cell r="N200" t="str">
            <v>RINA SUKMANINGATI THOMAS</v>
          </cell>
          <cell r="O200" t="str">
            <v>RAS</v>
          </cell>
          <cell r="P200" t="str">
            <v>idmTHXB@jbr.indomaret.co.id</v>
          </cell>
          <cell r="Q200" t="str">
            <v>KAB. JEMBER</v>
          </cell>
          <cell r="R200" t="str">
            <v>SDS</v>
          </cell>
        </row>
        <row r="201">
          <cell r="D201" t="str">
            <v>TK9V</v>
          </cell>
          <cell r="E201" t="str">
            <v>KALIURANG-JEMBER</v>
          </cell>
          <cell r="F201" t="str">
            <v>JEMBER</v>
          </cell>
          <cell r="G201" t="str">
            <v>R</v>
          </cell>
          <cell r="H201">
            <v>41621</v>
          </cell>
          <cell r="I201" t="str">
            <v xml:space="preserve">STANDARD </v>
          </cell>
          <cell r="J201">
            <v>1997000607</v>
          </cell>
          <cell r="K201" t="str">
            <v>ERVAN SOEBENY</v>
          </cell>
          <cell r="L201" t="str">
            <v>ESY</v>
          </cell>
          <cell r="M201">
            <v>2005008244</v>
          </cell>
          <cell r="N201" t="str">
            <v>RINA SUKMANINGATI THOMAS</v>
          </cell>
          <cell r="O201" t="str">
            <v>RAS</v>
          </cell>
          <cell r="P201" t="str">
            <v>idmTK9V@jbr.indomaret.co.id</v>
          </cell>
          <cell r="Q201" t="str">
            <v>KAB. JEMBER</v>
          </cell>
          <cell r="R201" t="str">
            <v>SDS</v>
          </cell>
        </row>
        <row r="202">
          <cell r="D202" t="str">
            <v>TROJ</v>
          </cell>
          <cell r="E202" t="str">
            <v>LANGSEP</v>
          </cell>
          <cell r="F202" t="str">
            <v>JEMBER</v>
          </cell>
          <cell r="G202" t="str">
            <v>R</v>
          </cell>
          <cell r="H202">
            <v>42003</v>
          </cell>
          <cell r="I202" t="str">
            <v>STANDARD NEW</v>
          </cell>
          <cell r="J202">
            <v>1997000607</v>
          </cell>
          <cell r="K202" t="str">
            <v>ERVAN SOEBENY</v>
          </cell>
          <cell r="L202" t="str">
            <v>ESY</v>
          </cell>
          <cell r="M202">
            <v>2005008244</v>
          </cell>
          <cell r="N202" t="str">
            <v>RINA SUKMANINGATI THOMAS</v>
          </cell>
          <cell r="O202" t="str">
            <v>RAS</v>
          </cell>
          <cell r="P202" t="str">
            <v>idmTROJ@jbr.indomaret.co.id</v>
          </cell>
          <cell r="Q202" t="str">
            <v>KAB. JEMBER</v>
          </cell>
          <cell r="R202" t="str">
            <v>SDN</v>
          </cell>
        </row>
        <row r="203">
          <cell r="D203" t="str">
            <v>TSRH</v>
          </cell>
          <cell r="E203" t="str">
            <v>ARJASA - JEMBER</v>
          </cell>
          <cell r="F203" t="str">
            <v>JEMBER</v>
          </cell>
          <cell r="G203" t="str">
            <v>R</v>
          </cell>
          <cell r="H203">
            <v>41426</v>
          </cell>
          <cell r="I203" t="str">
            <v>STANDARD NEW</v>
          </cell>
          <cell r="J203">
            <v>1997000607</v>
          </cell>
          <cell r="K203" t="str">
            <v>ERVAN SOEBENY</v>
          </cell>
          <cell r="L203" t="str">
            <v>ESY</v>
          </cell>
          <cell r="M203">
            <v>2005008244</v>
          </cell>
          <cell r="N203" t="str">
            <v>RINA SUKMANINGATI THOMAS</v>
          </cell>
          <cell r="O203" t="str">
            <v>RAS</v>
          </cell>
          <cell r="P203" t="str">
            <v>idmTSRH@jbr.indomaret.co.id</v>
          </cell>
          <cell r="Q203" t="str">
            <v>KAB. JEMBER</v>
          </cell>
          <cell r="R203" t="str">
            <v>SDN</v>
          </cell>
        </row>
        <row r="204">
          <cell r="D204" t="str">
            <v>TUAL</v>
          </cell>
          <cell r="E204" t="str">
            <v>PATRANG</v>
          </cell>
          <cell r="F204" t="str">
            <v>JEMBER</v>
          </cell>
          <cell r="G204" t="str">
            <v>R</v>
          </cell>
          <cell r="H204">
            <v>41426</v>
          </cell>
          <cell r="I204" t="str">
            <v xml:space="preserve">STANDARD </v>
          </cell>
          <cell r="J204">
            <v>1997000607</v>
          </cell>
          <cell r="K204" t="str">
            <v>ERVAN SOEBENY</v>
          </cell>
          <cell r="L204" t="str">
            <v>ESY</v>
          </cell>
          <cell r="M204">
            <v>2005008244</v>
          </cell>
          <cell r="N204" t="str">
            <v>RINA SUKMANINGATI THOMAS</v>
          </cell>
          <cell r="O204" t="str">
            <v>RAS</v>
          </cell>
          <cell r="P204" t="str">
            <v>idmTUAL@jbr.indomaret.co.id</v>
          </cell>
          <cell r="Q204" t="str">
            <v>KAB. JEMBER</v>
          </cell>
          <cell r="R204" t="str">
            <v>SDS</v>
          </cell>
        </row>
        <row r="205">
          <cell r="D205" t="str">
            <v>TUFJ</v>
          </cell>
          <cell r="E205" t="str">
            <v>ARJASA 2 - JEMBER</v>
          </cell>
          <cell r="F205" t="str">
            <v>JEMBER</v>
          </cell>
          <cell r="G205" t="str">
            <v>R</v>
          </cell>
          <cell r="H205">
            <v>42856</v>
          </cell>
          <cell r="I205" t="str">
            <v xml:space="preserve">STANDARD </v>
          </cell>
          <cell r="J205">
            <v>1997000607</v>
          </cell>
          <cell r="K205" t="str">
            <v>ERVAN SOEBENY</v>
          </cell>
          <cell r="L205" t="str">
            <v>ESY</v>
          </cell>
          <cell r="M205">
            <v>2005008244</v>
          </cell>
          <cell r="N205" t="str">
            <v>RINA SUKMANINGATI THOMAS</v>
          </cell>
          <cell r="O205" t="str">
            <v>RAS</v>
          </cell>
          <cell r="P205" t="str">
            <v>idmTUFJ@jbr.indomaret.co.id</v>
          </cell>
          <cell r="Q205" t="str">
            <v>KAB. JEMBER</v>
          </cell>
          <cell r="R205" t="str">
            <v>SDS</v>
          </cell>
        </row>
        <row r="206">
          <cell r="D206" t="str">
            <v>F2PH</v>
          </cell>
          <cell r="E206" t="str">
            <v>LEMBENGAN</v>
          </cell>
          <cell r="F206" t="str">
            <v>JEMBER</v>
          </cell>
          <cell r="G206" t="str">
            <v>F</v>
          </cell>
          <cell r="H206">
            <v>45854</v>
          </cell>
          <cell r="I206" t="str">
            <v xml:space="preserve">STANDARD </v>
          </cell>
          <cell r="J206">
            <v>1997000607</v>
          </cell>
          <cell r="K206" t="str">
            <v>ERVAN SOEBENY</v>
          </cell>
          <cell r="L206" t="str">
            <v>ESY</v>
          </cell>
          <cell r="M206">
            <v>2002007364</v>
          </cell>
          <cell r="N206" t="str">
            <v>SUHERMANTO</v>
          </cell>
          <cell r="O206" t="str">
            <v>SHA</v>
          </cell>
          <cell r="P206" t="str">
            <v>idF2PH@jbr.indomaret.co.id</v>
          </cell>
          <cell r="Q206" t="str">
            <v>KAB. JEMBER</v>
          </cell>
          <cell r="R206" t="str">
            <v>SDS</v>
          </cell>
        </row>
        <row r="207">
          <cell r="D207" t="str">
            <v>FKOR</v>
          </cell>
          <cell r="E207" t="str">
            <v>GARAHAN</v>
          </cell>
          <cell r="F207" t="str">
            <v>JEMBER</v>
          </cell>
          <cell r="G207" t="str">
            <v>F</v>
          </cell>
          <cell r="H207">
            <v>45231</v>
          </cell>
          <cell r="I207" t="str">
            <v xml:space="preserve">STANDARD </v>
          </cell>
          <cell r="J207">
            <v>1997000607</v>
          </cell>
          <cell r="K207" t="str">
            <v>ERVAN SOEBENY</v>
          </cell>
          <cell r="L207" t="str">
            <v>ESY</v>
          </cell>
          <cell r="M207">
            <v>2002007364</v>
          </cell>
          <cell r="N207" t="str">
            <v>SUHERMANTO</v>
          </cell>
          <cell r="O207" t="str">
            <v>SHA</v>
          </cell>
          <cell r="P207" t="str">
            <v>idFKOR@jbr.indomaret.co.id</v>
          </cell>
          <cell r="Q207" t="str">
            <v>KAB. JEMBER</v>
          </cell>
          <cell r="R207" t="str">
            <v>SDS</v>
          </cell>
        </row>
        <row r="208">
          <cell r="D208" t="str">
            <v>FPOO</v>
          </cell>
          <cell r="E208" t="str">
            <v>RAYA SUMBERJATI - JEMBER</v>
          </cell>
          <cell r="F208" t="str">
            <v>JEMBER</v>
          </cell>
          <cell r="G208" t="str">
            <v>F</v>
          </cell>
          <cell r="H208">
            <v>44983</v>
          </cell>
          <cell r="I208" t="str">
            <v xml:space="preserve">STANDARD </v>
          </cell>
          <cell r="J208">
            <v>1997000607</v>
          </cell>
          <cell r="K208" t="str">
            <v>ERVAN SOEBENY</v>
          </cell>
          <cell r="L208" t="str">
            <v>ESY</v>
          </cell>
          <cell r="M208">
            <v>2002007364</v>
          </cell>
          <cell r="N208" t="str">
            <v>SUHERMANTO</v>
          </cell>
          <cell r="O208" t="str">
            <v>SHA</v>
          </cell>
          <cell r="P208" t="str">
            <v>idFPOO@jbr.indomaret.co.id</v>
          </cell>
          <cell r="Q208" t="str">
            <v>KAB. JEMBER</v>
          </cell>
          <cell r="R208" t="str">
            <v>SDS</v>
          </cell>
        </row>
        <row r="209">
          <cell r="D209" t="str">
            <v>FQUU</v>
          </cell>
          <cell r="E209" t="str">
            <v>LEDOKOMBO JEMBER</v>
          </cell>
          <cell r="F209" t="str">
            <v>JEMBER</v>
          </cell>
          <cell r="G209" t="str">
            <v>F</v>
          </cell>
          <cell r="H209">
            <v>44287</v>
          </cell>
          <cell r="I209" t="str">
            <v xml:space="preserve">STANDARD </v>
          </cell>
          <cell r="J209">
            <v>1997000607</v>
          </cell>
          <cell r="K209" t="str">
            <v>ERVAN SOEBENY</v>
          </cell>
          <cell r="L209" t="str">
            <v>ESY</v>
          </cell>
          <cell r="M209">
            <v>2002007364</v>
          </cell>
          <cell r="N209" t="str">
            <v>SUHERMANTO</v>
          </cell>
          <cell r="O209" t="str">
            <v>SHA</v>
          </cell>
          <cell r="P209" t="str">
            <v>idFQUU@jbr.indomaret.co.id</v>
          </cell>
          <cell r="Q209" t="str">
            <v>KAB. JEMBER</v>
          </cell>
          <cell r="R209" t="str">
            <v>SDS</v>
          </cell>
        </row>
        <row r="210">
          <cell r="D210" t="str">
            <v>T10A</v>
          </cell>
          <cell r="E210" t="str">
            <v>KALISAT 2 - JEMBER</v>
          </cell>
          <cell r="F210" t="str">
            <v>JEMBER</v>
          </cell>
          <cell r="G210" t="str">
            <v>R</v>
          </cell>
          <cell r="H210">
            <v>39725</v>
          </cell>
          <cell r="I210" t="str">
            <v>STANDARD NEW</v>
          </cell>
          <cell r="J210">
            <v>1997000607</v>
          </cell>
          <cell r="K210" t="str">
            <v>ERVAN SOEBENY</v>
          </cell>
          <cell r="L210" t="str">
            <v>ESY</v>
          </cell>
          <cell r="M210">
            <v>2002007364</v>
          </cell>
          <cell r="N210" t="str">
            <v>SUHERMANTO</v>
          </cell>
          <cell r="O210" t="str">
            <v>SHA</v>
          </cell>
          <cell r="P210" t="str">
            <v>idmT10A@jbr.indomaret.co.id</v>
          </cell>
          <cell r="Q210" t="str">
            <v>KAB. JEMBER</v>
          </cell>
          <cell r="R210" t="str">
            <v>SDN</v>
          </cell>
        </row>
        <row r="211">
          <cell r="D211" t="str">
            <v>T85J</v>
          </cell>
          <cell r="E211" t="str">
            <v>PAHLAWAN MAYANG JEMBER</v>
          </cell>
          <cell r="F211" t="str">
            <v>JEMBER</v>
          </cell>
          <cell r="G211" t="str">
            <v>R</v>
          </cell>
          <cell r="H211">
            <v>40662</v>
          </cell>
          <cell r="I211" t="str">
            <v xml:space="preserve">STANDARD </v>
          </cell>
          <cell r="J211">
            <v>1997000607</v>
          </cell>
          <cell r="K211" t="str">
            <v>ERVAN SOEBENY</v>
          </cell>
          <cell r="L211" t="str">
            <v>ESY</v>
          </cell>
          <cell r="M211">
            <v>2002007364</v>
          </cell>
          <cell r="N211" t="str">
            <v>SUHERMANTO</v>
          </cell>
          <cell r="O211" t="str">
            <v>SHA</v>
          </cell>
          <cell r="P211" t="str">
            <v>idmT85J@jbr.indomaret.co.id</v>
          </cell>
          <cell r="Q211" t="str">
            <v>KAB. JEMBER</v>
          </cell>
          <cell r="R211" t="str">
            <v>SDS</v>
          </cell>
        </row>
        <row r="212">
          <cell r="D212" t="str">
            <v>T8FM</v>
          </cell>
          <cell r="E212" t="str">
            <v>TEMPUREJO 2 JEMBER</v>
          </cell>
          <cell r="F212" t="str">
            <v>JEMBER</v>
          </cell>
          <cell r="G212" t="str">
            <v>R</v>
          </cell>
          <cell r="H212">
            <v>41637</v>
          </cell>
          <cell r="I212" t="str">
            <v xml:space="preserve">STANDARD </v>
          </cell>
          <cell r="J212">
            <v>1997000607</v>
          </cell>
          <cell r="K212" t="str">
            <v>ERVAN SOEBENY</v>
          </cell>
          <cell r="L212" t="str">
            <v>ESY</v>
          </cell>
          <cell r="M212">
            <v>2002007364</v>
          </cell>
          <cell r="N212" t="str">
            <v>SUHERMANTO</v>
          </cell>
          <cell r="O212" t="str">
            <v>SHA</v>
          </cell>
          <cell r="P212" t="str">
            <v>idmT8FM@jbr.indomaret.co.id</v>
          </cell>
          <cell r="Q212" t="str">
            <v>KAB. JEMBER</v>
          </cell>
          <cell r="R212" t="str">
            <v>SDS</v>
          </cell>
        </row>
        <row r="213">
          <cell r="D213" t="str">
            <v>TA56</v>
          </cell>
          <cell r="E213" t="str">
            <v>TEMPUREJO</v>
          </cell>
          <cell r="F213" t="str">
            <v>JEMBER</v>
          </cell>
          <cell r="G213" t="str">
            <v>R</v>
          </cell>
          <cell r="H213">
            <v>39262</v>
          </cell>
          <cell r="I213" t="str">
            <v xml:space="preserve">STANDARD </v>
          </cell>
          <cell r="J213">
            <v>1997000607</v>
          </cell>
          <cell r="K213" t="str">
            <v>ERVAN SOEBENY</v>
          </cell>
          <cell r="L213" t="str">
            <v>ESY</v>
          </cell>
          <cell r="M213">
            <v>2002007364</v>
          </cell>
          <cell r="N213" t="str">
            <v>SUHERMANTO</v>
          </cell>
          <cell r="O213" t="str">
            <v>SHA</v>
          </cell>
          <cell r="P213" t="str">
            <v>idmTA56@jbr.indomaret.co.id</v>
          </cell>
          <cell r="Q213" t="str">
            <v>KAB. JEMBER</v>
          </cell>
          <cell r="R213" t="str">
            <v>SDS</v>
          </cell>
        </row>
        <row r="214">
          <cell r="D214" t="str">
            <v>TBGE</v>
          </cell>
          <cell r="E214" t="str">
            <v>MUMBULSARI</v>
          </cell>
          <cell r="F214" t="str">
            <v>JEMBER</v>
          </cell>
          <cell r="G214" t="str">
            <v>R</v>
          </cell>
          <cell r="H214">
            <v>42123</v>
          </cell>
          <cell r="I214" t="str">
            <v xml:space="preserve">STANDARD </v>
          </cell>
          <cell r="J214">
            <v>1997000607</v>
          </cell>
          <cell r="K214" t="str">
            <v>ERVAN SOEBENY</v>
          </cell>
          <cell r="L214" t="str">
            <v>ESY</v>
          </cell>
          <cell r="M214">
            <v>2002007364</v>
          </cell>
          <cell r="N214" t="str">
            <v>SUHERMANTO</v>
          </cell>
          <cell r="O214" t="str">
            <v>SHA</v>
          </cell>
          <cell r="P214" t="str">
            <v>idmTBGE@jbr.indomaret.co.id</v>
          </cell>
          <cell r="Q214" t="str">
            <v>KAB. JEMBER</v>
          </cell>
          <cell r="R214" t="str">
            <v>SDS</v>
          </cell>
        </row>
        <row r="215">
          <cell r="D215" t="str">
            <v>TGUH</v>
          </cell>
          <cell r="E215" t="str">
            <v>SEMPOLAN</v>
          </cell>
          <cell r="F215" t="str">
            <v>JEMBER</v>
          </cell>
          <cell r="G215" t="str">
            <v>R</v>
          </cell>
          <cell r="H215">
            <v>39753</v>
          </cell>
          <cell r="I215" t="str">
            <v xml:space="preserve">STANDARD </v>
          </cell>
          <cell r="J215">
            <v>1997000607</v>
          </cell>
          <cell r="K215" t="str">
            <v>ERVAN SOEBENY</v>
          </cell>
          <cell r="L215" t="str">
            <v>ESY</v>
          </cell>
          <cell r="M215">
            <v>2002007364</v>
          </cell>
          <cell r="N215" t="str">
            <v>SUHERMANTO</v>
          </cell>
          <cell r="O215" t="str">
            <v>SHA</v>
          </cell>
          <cell r="P215" t="str">
            <v>idmTGUH@jbr.indomaret.co.id</v>
          </cell>
          <cell r="Q215" t="str">
            <v>KAB. JEMBER</v>
          </cell>
          <cell r="R215" t="str">
            <v>SDS</v>
          </cell>
        </row>
        <row r="216">
          <cell r="D216" t="str">
            <v>TNLI</v>
          </cell>
          <cell r="E216" t="str">
            <v>MAYANG TEGALREJO</v>
          </cell>
          <cell r="F216" t="str">
            <v>JEMBER</v>
          </cell>
          <cell r="G216" t="str">
            <v>R</v>
          </cell>
          <cell r="H216">
            <v>44723</v>
          </cell>
          <cell r="I216" t="str">
            <v>STANDARD NEW</v>
          </cell>
          <cell r="J216">
            <v>1997000607</v>
          </cell>
          <cell r="K216" t="str">
            <v>ERVAN SOEBENY</v>
          </cell>
          <cell r="L216" t="str">
            <v>ESY</v>
          </cell>
          <cell r="M216">
            <v>2002007364</v>
          </cell>
          <cell r="N216" t="str">
            <v>SUHERMANTO</v>
          </cell>
          <cell r="O216" t="str">
            <v>SHA</v>
          </cell>
          <cell r="P216" t="str">
            <v>idmTNLI@jbr.indomaret.co.id</v>
          </cell>
          <cell r="Q216" t="str">
            <v>KAB. JEMBER</v>
          </cell>
          <cell r="R216" t="str">
            <v>SDN</v>
          </cell>
        </row>
        <row r="217">
          <cell r="D217" t="str">
            <v>FD6X</v>
          </cell>
          <cell r="E217" t="str">
            <v>JANGKAR</v>
          </cell>
          <cell r="F217" t="str">
            <v>JEMBER</v>
          </cell>
          <cell r="G217" t="str">
            <v>F</v>
          </cell>
          <cell r="H217">
            <v>44708</v>
          </cell>
          <cell r="I217" t="str">
            <v xml:space="preserve">STANDARD </v>
          </cell>
          <cell r="J217">
            <v>2005008004</v>
          </cell>
          <cell r="K217" t="str">
            <v>JOKO DWI PRASETYO</v>
          </cell>
          <cell r="L217" t="str">
            <v>JDP</v>
          </cell>
          <cell r="M217">
            <v>2010004252</v>
          </cell>
          <cell r="N217" t="str">
            <v>AGUS SURYO PRASETYO</v>
          </cell>
          <cell r="O217" t="str">
            <v>ASP</v>
          </cell>
          <cell r="P217" t="str">
            <v>idFD6X@jbr.indomaret.co.id</v>
          </cell>
          <cell r="Q217" t="str">
            <v>KAB. SITUBONDO</v>
          </cell>
          <cell r="R217" t="str">
            <v>SDS</v>
          </cell>
        </row>
        <row r="218">
          <cell r="D218" t="str">
            <v>FEXJ</v>
          </cell>
          <cell r="E218" t="str">
            <v>BANONGAN - STO</v>
          </cell>
          <cell r="F218" t="str">
            <v>JEMBER</v>
          </cell>
          <cell r="G218" t="str">
            <v>F</v>
          </cell>
          <cell r="H218">
            <v>45078</v>
          </cell>
          <cell r="I218" t="str">
            <v xml:space="preserve">STANDARD </v>
          </cell>
          <cell r="J218">
            <v>2005008004</v>
          </cell>
          <cell r="K218" t="str">
            <v>JOKO DWI PRASETYO</v>
          </cell>
          <cell r="L218" t="str">
            <v>JDP</v>
          </cell>
          <cell r="M218">
            <v>2010004252</v>
          </cell>
          <cell r="N218" t="str">
            <v>AGUS SURYO PRASETYO</v>
          </cell>
          <cell r="O218" t="str">
            <v>ASP</v>
          </cell>
          <cell r="P218" t="str">
            <v>idFEXJ@jbr.indomaret.co.id</v>
          </cell>
          <cell r="Q218" t="str">
            <v>KAB. SITUBONDO</v>
          </cell>
          <cell r="R218" t="str">
            <v>SDS</v>
          </cell>
        </row>
        <row r="219">
          <cell r="D219" t="str">
            <v>FJIM</v>
          </cell>
          <cell r="E219" t="str">
            <v>ASEM BAGUS II</v>
          </cell>
          <cell r="F219" t="str">
            <v>JEMBER</v>
          </cell>
          <cell r="G219" t="str">
            <v>F</v>
          </cell>
          <cell r="H219">
            <v>45566</v>
          </cell>
          <cell r="I219" t="str">
            <v xml:space="preserve">STANDARD </v>
          </cell>
          <cell r="J219">
            <v>2005008004</v>
          </cell>
          <cell r="K219" t="str">
            <v>JOKO DWI PRASETYO</v>
          </cell>
          <cell r="L219" t="str">
            <v>JDP</v>
          </cell>
          <cell r="M219">
            <v>2010004252</v>
          </cell>
          <cell r="N219" t="str">
            <v>AGUS SURYO PRASETYO</v>
          </cell>
          <cell r="O219" t="str">
            <v>ASP</v>
          </cell>
          <cell r="P219" t="str">
            <v>idFJIM@jbr.indomaret.co.id</v>
          </cell>
          <cell r="Q219" t="str">
            <v>KAB. SITUBONDO</v>
          </cell>
          <cell r="R219" t="str">
            <v>SDS</v>
          </cell>
        </row>
        <row r="220">
          <cell r="D220" t="str">
            <v>FUAH</v>
          </cell>
          <cell r="E220" t="str">
            <v>SUMBEREJO STO</v>
          </cell>
          <cell r="F220" t="str">
            <v>JEMBER</v>
          </cell>
          <cell r="G220" t="str">
            <v>F</v>
          </cell>
          <cell r="H220">
            <v>44166</v>
          </cell>
          <cell r="I220" t="str">
            <v xml:space="preserve">STANDARD </v>
          </cell>
          <cell r="J220">
            <v>2005008004</v>
          </cell>
          <cell r="K220" t="str">
            <v>JOKO DWI PRASETYO</v>
          </cell>
          <cell r="L220" t="str">
            <v>JDP</v>
          </cell>
          <cell r="M220">
            <v>2010004252</v>
          </cell>
          <cell r="N220" t="str">
            <v>AGUS SURYO PRASETYO</v>
          </cell>
          <cell r="O220" t="str">
            <v>ASP</v>
          </cell>
          <cell r="P220" t="str">
            <v>idFUAH@jbr.indomaret.co.id</v>
          </cell>
          <cell r="Q220" t="str">
            <v>KAB. SITUBONDO</v>
          </cell>
          <cell r="R220" t="str">
            <v>SDS</v>
          </cell>
        </row>
        <row r="221">
          <cell r="D221" t="str">
            <v>FWGO</v>
          </cell>
          <cell r="E221" t="str">
            <v>SERUNI-ASEMBAGUS</v>
          </cell>
          <cell r="F221" t="str">
            <v>JEMBER</v>
          </cell>
          <cell r="G221" t="str">
            <v>F</v>
          </cell>
          <cell r="H221">
            <v>44621</v>
          </cell>
          <cell r="I221" t="str">
            <v xml:space="preserve">STANDARD </v>
          </cell>
          <cell r="J221">
            <v>2005008004</v>
          </cell>
          <cell r="K221" t="str">
            <v>JOKO DWI PRASETYO</v>
          </cell>
          <cell r="L221" t="str">
            <v>JDP</v>
          </cell>
          <cell r="M221">
            <v>2010004252</v>
          </cell>
          <cell r="N221" t="str">
            <v>AGUS SURYO PRASETYO</v>
          </cell>
          <cell r="O221" t="str">
            <v>ASP</v>
          </cell>
          <cell r="P221" t="str">
            <v>idFWGO@jbr.indomaret.co.id</v>
          </cell>
          <cell r="Q221" t="str">
            <v>KAB. SITUBONDO</v>
          </cell>
          <cell r="R221" t="str">
            <v>SDS</v>
          </cell>
        </row>
        <row r="222">
          <cell r="D222" t="str">
            <v>T1J4</v>
          </cell>
          <cell r="E222" t="str">
            <v>TRIGONCO</v>
          </cell>
          <cell r="F222" t="str">
            <v>JEMBER</v>
          </cell>
          <cell r="G222" t="str">
            <v>R</v>
          </cell>
          <cell r="H222">
            <v>44798</v>
          </cell>
          <cell r="I222" t="str">
            <v xml:space="preserve">STANDARD </v>
          </cell>
          <cell r="J222">
            <v>2005008004</v>
          </cell>
          <cell r="K222" t="str">
            <v>JOKO DWI PRASETYO</v>
          </cell>
          <cell r="L222" t="str">
            <v>JDP</v>
          </cell>
          <cell r="M222">
            <v>2010004252</v>
          </cell>
          <cell r="N222" t="str">
            <v>AGUS SURYO PRASETYO</v>
          </cell>
          <cell r="O222" t="str">
            <v>ASP</v>
          </cell>
          <cell r="P222" t="str">
            <v>idmT1J4@jbr.indomaret.co.id</v>
          </cell>
          <cell r="Q222" t="str">
            <v>KAB. SITUBONDO</v>
          </cell>
          <cell r="R222" t="str">
            <v>SDS</v>
          </cell>
        </row>
        <row r="223">
          <cell r="D223" t="str">
            <v>TCYH</v>
          </cell>
          <cell r="E223" t="str">
            <v>PONDOK MIMBO</v>
          </cell>
          <cell r="F223" t="str">
            <v>JEMBER</v>
          </cell>
          <cell r="G223" t="str">
            <v>R</v>
          </cell>
          <cell r="H223">
            <v>46141</v>
          </cell>
          <cell r="I223" t="str">
            <v>STANDARD NEW</v>
          </cell>
          <cell r="J223">
            <v>2005008004</v>
          </cell>
          <cell r="K223" t="str">
            <v>JOKO DWI PRASETYO</v>
          </cell>
          <cell r="L223" t="str">
            <v>JDP</v>
          </cell>
          <cell r="M223">
            <v>2010004252</v>
          </cell>
          <cell r="N223" t="str">
            <v>AGUS SURYO PRASETYO</v>
          </cell>
          <cell r="O223" t="str">
            <v>ASP</v>
          </cell>
          <cell r="P223" t="str">
            <v>idmTCYH@jbr.indomaret.co.id</v>
          </cell>
          <cell r="Q223" t="str">
            <v>KAB. SITUBONDO</v>
          </cell>
          <cell r="R223" t="str">
            <v>SDN</v>
          </cell>
        </row>
        <row r="224">
          <cell r="D224" t="str">
            <v>TEOJ</v>
          </cell>
          <cell r="E224" t="str">
            <v>ASEMBAGUS 22 STO</v>
          </cell>
          <cell r="F224" t="str">
            <v>JEMBER</v>
          </cell>
          <cell r="G224" t="str">
            <v>R</v>
          </cell>
          <cell r="H224">
            <v>44378</v>
          </cell>
          <cell r="I224" t="str">
            <v xml:space="preserve">STANDARD </v>
          </cell>
          <cell r="J224">
            <v>2005008004</v>
          </cell>
          <cell r="K224" t="str">
            <v>JOKO DWI PRASETYO</v>
          </cell>
          <cell r="L224" t="str">
            <v>JDP</v>
          </cell>
          <cell r="M224">
            <v>2010004252</v>
          </cell>
          <cell r="N224" t="str">
            <v>AGUS SURYO PRASETYO</v>
          </cell>
          <cell r="O224" t="str">
            <v>ASP</v>
          </cell>
          <cell r="P224" t="str">
            <v>idmTEOJ@jbr.indomaret.co.id</v>
          </cell>
          <cell r="Q224" t="str">
            <v>KAB. SITUBONDO</v>
          </cell>
          <cell r="R224" t="str">
            <v>SDS</v>
          </cell>
        </row>
        <row r="225">
          <cell r="D225" t="str">
            <v>TF02</v>
          </cell>
          <cell r="E225" t="str">
            <v>ASEM BAGUS</v>
          </cell>
          <cell r="F225" t="str">
            <v>JEMBER</v>
          </cell>
          <cell r="G225" t="str">
            <v>R</v>
          </cell>
          <cell r="H225">
            <v>38520</v>
          </cell>
          <cell r="I225" t="str">
            <v xml:space="preserve">STANDARD </v>
          </cell>
          <cell r="J225">
            <v>2005008004</v>
          </cell>
          <cell r="K225" t="str">
            <v>JOKO DWI PRASETYO</v>
          </cell>
          <cell r="L225" t="str">
            <v>JDP</v>
          </cell>
          <cell r="M225">
            <v>2010004252</v>
          </cell>
          <cell r="N225" t="str">
            <v>AGUS SURYO PRASETYO</v>
          </cell>
          <cell r="O225" t="str">
            <v>ASP</v>
          </cell>
          <cell r="P225" t="str">
            <v>idmTF02@jbr.indomaret.co.id</v>
          </cell>
          <cell r="Q225" t="str">
            <v>KAB. SITUBONDO</v>
          </cell>
          <cell r="R225" t="str">
            <v>SDS</v>
          </cell>
        </row>
        <row r="226">
          <cell r="D226" t="str">
            <v>TKLJ</v>
          </cell>
          <cell r="E226" t="str">
            <v>PESANGGRAHAN</v>
          </cell>
          <cell r="F226" t="str">
            <v>JEMBER</v>
          </cell>
          <cell r="G226" t="str">
            <v>R</v>
          </cell>
          <cell r="H226">
            <v>42947</v>
          </cell>
          <cell r="I226" t="str">
            <v xml:space="preserve">STANDARD </v>
          </cell>
          <cell r="J226">
            <v>2005008004</v>
          </cell>
          <cell r="K226" t="str">
            <v>JOKO DWI PRASETYO</v>
          </cell>
          <cell r="L226" t="str">
            <v>JDP</v>
          </cell>
          <cell r="M226">
            <v>2010004252</v>
          </cell>
          <cell r="N226" t="str">
            <v>AGUS SURYO PRASETYO</v>
          </cell>
          <cell r="O226" t="str">
            <v>ASP</v>
          </cell>
          <cell r="P226" t="str">
            <v>idmTKLJ@jbr.indomaret.co.id</v>
          </cell>
          <cell r="Q226" t="str">
            <v>KAB. SITUBONDO</v>
          </cell>
          <cell r="R226" t="str">
            <v>SDS</v>
          </cell>
        </row>
        <row r="227">
          <cell r="D227" t="str">
            <v>TMEJ</v>
          </cell>
          <cell r="E227" t="str">
            <v>RAYA SITUBONDO BANYUPUTIH</v>
          </cell>
          <cell r="F227" t="str">
            <v>JEMBER</v>
          </cell>
          <cell r="G227" t="str">
            <v>R</v>
          </cell>
          <cell r="H227">
            <v>45290</v>
          </cell>
          <cell r="I227" t="str">
            <v xml:space="preserve">STANDARD </v>
          </cell>
          <cell r="J227">
            <v>2005008004</v>
          </cell>
          <cell r="K227" t="str">
            <v>JOKO DWI PRASETYO</v>
          </cell>
          <cell r="L227" t="str">
            <v>JDP</v>
          </cell>
          <cell r="M227">
            <v>2010004252</v>
          </cell>
          <cell r="N227" t="str">
            <v>AGUS SURYO PRASETYO</v>
          </cell>
          <cell r="O227" t="str">
            <v>ASP</v>
          </cell>
          <cell r="P227" t="str">
            <v>idmTMEJ@jbr.indomaret.co.id</v>
          </cell>
          <cell r="Q227" t="str">
            <v>KAB. SITUBONDO</v>
          </cell>
          <cell r="R227" t="str">
            <v>SDS</v>
          </cell>
        </row>
        <row r="228">
          <cell r="D228" t="str">
            <v>TVBE</v>
          </cell>
          <cell r="E228" t="str">
            <v>SUMBERANYAR</v>
          </cell>
          <cell r="F228" t="str">
            <v>JEMBER</v>
          </cell>
          <cell r="G228" t="str">
            <v>R</v>
          </cell>
          <cell r="H228">
            <v>43008</v>
          </cell>
          <cell r="I228" t="str">
            <v xml:space="preserve">STANDARD </v>
          </cell>
          <cell r="J228">
            <v>2005008004</v>
          </cell>
          <cell r="K228" t="str">
            <v>JOKO DWI PRASETYO</v>
          </cell>
          <cell r="L228" t="str">
            <v>JDP</v>
          </cell>
          <cell r="M228">
            <v>2010004252</v>
          </cell>
          <cell r="N228" t="str">
            <v>AGUS SURYO PRASETYO</v>
          </cell>
          <cell r="O228" t="str">
            <v>ASP</v>
          </cell>
          <cell r="P228" t="str">
            <v>idmTVBE@jbr.indomaret.co.id</v>
          </cell>
          <cell r="Q228" t="str">
            <v>KAB. SITUBONDO</v>
          </cell>
          <cell r="R228" t="str">
            <v>SDS</v>
          </cell>
        </row>
        <row r="229">
          <cell r="D229" t="str">
            <v>F79G</v>
          </cell>
          <cell r="E229" t="str">
            <v>CERMEE</v>
          </cell>
          <cell r="F229" t="str">
            <v>JEMBER</v>
          </cell>
          <cell r="G229" t="str">
            <v>F</v>
          </cell>
          <cell r="H229">
            <v>44485</v>
          </cell>
          <cell r="I229" t="str">
            <v xml:space="preserve">STANDARD </v>
          </cell>
          <cell r="J229">
            <v>2005008004</v>
          </cell>
          <cell r="K229" t="str">
            <v>JOKO DWI PRASETYO</v>
          </cell>
          <cell r="L229" t="str">
            <v>JDP</v>
          </cell>
          <cell r="M229">
            <v>2013032809</v>
          </cell>
          <cell r="N229" t="str">
            <v>ERIYANTO</v>
          </cell>
          <cell r="O229" t="str">
            <v>ERT</v>
          </cell>
          <cell r="P229" t="str">
            <v>idF79G@jbr.indomaret.co.id</v>
          </cell>
          <cell r="Q229" t="str">
            <v>KAB. BONDOWOSO</v>
          </cell>
          <cell r="R229" t="str">
            <v>SDS</v>
          </cell>
        </row>
        <row r="230">
          <cell r="D230" t="str">
            <v>F85C</v>
          </cell>
          <cell r="E230" t="str">
            <v>PRAJEKAN</v>
          </cell>
          <cell r="F230" t="str">
            <v>JEMBER</v>
          </cell>
          <cell r="G230" t="str">
            <v>F</v>
          </cell>
          <cell r="H230">
            <v>45378</v>
          </cell>
          <cell r="I230" t="str">
            <v xml:space="preserve">STANDARD </v>
          </cell>
          <cell r="J230">
            <v>2005008004</v>
          </cell>
          <cell r="K230" t="str">
            <v>JOKO DWI PRASETYO</v>
          </cell>
          <cell r="L230" t="str">
            <v>JDP</v>
          </cell>
          <cell r="M230">
            <v>2013032809</v>
          </cell>
          <cell r="N230" t="str">
            <v>ERIYANTO</v>
          </cell>
          <cell r="O230" t="str">
            <v>ERT</v>
          </cell>
          <cell r="P230" t="str">
            <v>idF85C@jbr.indomaret.co.id</v>
          </cell>
          <cell r="Q230" t="str">
            <v>KAB. BONDOWOSO</v>
          </cell>
          <cell r="R230" t="str">
            <v>SDS</v>
          </cell>
        </row>
        <row r="231">
          <cell r="D231" t="str">
            <v>F8HH</v>
          </cell>
          <cell r="E231" t="str">
            <v>RAYA SITUBONDO KOTAKAN</v>
          </cell>
          <cell r="F231" t="str">
            <v>JEMBER</v>
          </cell>
          <cell r="G231" t="str">
            <v>F</v>
          </cell>
          <cell r="H231">
            <v>45157</v>
          </cell>
          <cell r="I231" t="str">
            <v xml:space="preserve">STANDARD </v>
          </cell>
          <cell r="J231">
            <v>2005008004</v>
          </cell>
          <cell r="K231" t="str">
            <v>JOKO DWI PRASETYO</v>
          </cell>
          <cell r="L231" t="str">
            <v>JDP</v>
          </cell>
          <cell r="M231">
            <v>2013032809</v>
          </cell>
          <cell r="N231" t="str">
            <v>ERIYANTO</v>
          </cell>
          <cell r="O231" t="str">
            <v>ERT</v>
          </cell>
          <cell r="P231" t="str">
            <v>idF8HH@jbr.indomaret.co.id</v>
          </cell>
          <cell r="Q231" t="str">
            <v>KAB. SITUBONDO</v>
          </cell>
          <cell r="R231" t="str">
            <v>SDS</v>
          </cell>
        </row>
        <row r="232">
          <cell r="D232" t="str">
            <v>FINN</v>
          </cell>
          <cell r="E232" t="str">
            <v>RAYA PRAJEKAN - BDO</v>
          </cell>
          <cell r="F232" t="str">
            <v>JEMBER</v>
          </cell>
          <cell r="G232" t="str">
            <v>F</v>
          </cell>
          <cell r="H232">
            <v>44256</v>
          </cell>
          <cell r="I232" t="str">
            <v xml:space="preserve">STANDARD </v>
          </cell>
          <cell r="J232">
            <v>2005008004</v>
          </cell>
          <cell r="K232" t="str">
            <v>JOKO DWI PRASETYO</v>
          </cell>
          <cell r="L232" t="str">
            <v>JDP</v>
          </cell>
          <cell r="M232">
            <v>2013032809</v>
          </cell>
          <cell r="N232" t="str">
            <v>ERIYANTO</v>
          </cell>
          <cell r="O232" t="str">
            <v>ERT</v>
          </cell>
          <cell r="P232" t="str">
            <v>idFINN@jbr.indomaret.co.id</v>
          </cell>
          <cell r="Q232" t="str">
            <v>KAB. BONDOWOSO</v>
          </cell>
          <cell r="R232" t="str">
            <v>SDS</v>
          </cell>
        </row>
        <row r="233">
          <cell r="D233" t="str">
            <v>T3HG</v>
          </cell>
          <cell r="E233" t="str">
            <v>PB. SUDIRMAN</v>
          </cell>
          <cell r="F233" t="str">
            <v>JEMBER</v>
          </cell>
          <cell r="G233" t="str">
            <v>R</v>
          </cell>
          <cell r="H233">
            <v>41640</v>
          </cell>
          <cell r="I233" t="str">
            <v>STANDARD NEW</v>
          </cell>
          <cell r="J233">
            <v>2005008004</v>
          </cell>
          <cell r="K233" t="str">
            <v>JOKO DWI PRASETYO</v>
          </cell>
          <cell r="L233" t="str">
            <v>JDP</v>
          </cell>
          <cell r="M233">
            <v>2013032809</v>
          </cell>
          <cell r="N233" t="str">
            <v>ERIYANTO</v>
          </cell>
          <cell r="O233" t="str">
            <v>ERT</v>
          </cell>
          <cell r="P233" t="str">
            <v>idmT3HG@jbr.indomaret.co.id</v>
          </cell>
          <cell r="Q233" t="str">
            <v>KAB. SITUBONDO</v>
          </cell>
          <cell r="R233" t="str">
            <v>SDN</v>
          </cell>
        </row>
        <row r="234">
          <cell r="D234" t="str">
            <v>TFOX</v>
          </cell>
          <cell r="E234" t="str">
            <v>RAYA BERCAK ASRI</v>
          </cell>
          <cell r="F234" t="str">
            <v>JEMBER</v>
          </cell>
          <cell r="G234" t="str">
            <v>R</v>
          </cell>
          <cell r="H234">
            <v>45077</v>
          </cell>
          <cell r="I234" t="str">
            <v xml:space="preserve">STANDARD </v>
          </cell>
          <cell r="J234">
            <v>2005008004</v>
          </cell>
          <cell r="K234" t="str">
            <v>JOKO DWI PRASETYO</v>
          </cell>
          <cell r="L234" t="str">
            <v>JDP</v>
          </cell>
          <cell r="M234">
            <v>2013032809</v>
          </cell>
          <cell r="N234" t="str">
            <v>ERIYANTO</v>
          </cell>
          <cell r="O234" t="str">
            <v>ERT</v>
          </cell>
          <cell r="P234" t="str">
            <v>idmTFOX@jbr.indomaret.co.id</v>
          </cell>
          <cell r="Q234" t="str">
            <v>KAB. BONDOWOSO</v>
          </cell>
          <cell r="R234" t="str">
            <v>SDS</v>
          </cell>
        </row>
        <row r="235">
          <cell r="D235" t="str">
            <v>THVM</v>
          </cell>
          <cell r="E235" t="str">
            <v>SULING KULON</v>
          </cell>
          <cell r="F235" t="str">
            <v>JEMBER</v>
          </cell>
          <cell r="G235" t="str">
            <v>R</v>
          </cell>
          <cell r="H235">
            <v>44810</v>
          </cell>
          <cell r="I235" t="str">
            <v xml:space="preserve">STANDARD </v>
          </cell>
          <cell r="J235">
            <v>2005008004</v>
          </cell>
          <cell r="K235" t="str">
            <v>JOKO DWI PRASETYO</v>
          </cell>
          <cell r="L235" t="str">
            <v>JDP</v>
          </cell>
          <cell r="M235">
            <v>2013032809</v>
          </cell>
          <cell r="N235" t="str">
            <v>ERIYANTO</v>
          </cell>
          <cell r="O235" t="str">
            <v>ERT</v>
          </cell>
          <cell r="P235" t="str">
            <v>idmTHVM@jbr.indomaret.co.id</v>
          </cell>
          <cell r="Q235" t="str">
            <v>KAB. BONDOWOSO</v>
          </cell>
          <cell r="R235" t="str">
            <v>SDS</v>
          </cell>
        </row>
        <row r="236">
          <cell r="D236" t="str">
            <v>TJOL</v>
          </cell>
          <cell r="E236" t="str">
            <v>WIDURI - BONDOWOSO</v>
          </cell>
          <cell r="F236" t="str">
            <v>JEMBER</v>
          </cell>
          <cell r="G236" t="str">
            <v>R</v>
          </cell>
          <cell r="H236">
            <v>46082</v>
          </cell>
          <cell r="I236" t="str">
            <v xml:space="preserve">STANDARD </v>
          </cell>
          <cell r="J236">
            <v>2005008004</v>
          </cell>
          <cell r="K236" t="str">
            <v>JOKO DWI PRASETYO</v>
          </cell>
          <cell r="L236" t="str">
            <v>JDP</v>
          </cell>
          <cell r="M236">
            <v>2013032809</v>
          </cell>
          <cell r="N236" t="str">
            <v>ERIYANTO</v>
          </cell>
          <cell r="O236" t="str">
            <v>ERT</v>
          </cell>
          <cell r="P236" t="str">
            <v>idmTJOL@jbr.indomaret.co.id</v>
          </cell>
          <cell r="Q236" t="str">
            <v>KAB. BONDOWOSO</v>
          </cell>
          <cell r="R236" t="str">
            <v>SDS</v>
          </cell>
        </row>
        <row r="237">
          <cell r="D237" t="str">
            <v>TPHA</v>
          </cell>
          <cell r="E237" t="str">
            <v>SUMBER KOLAK - SITUBONDO</v>
          </cell>
          <cell r="F237" t="str">
            <v>JEMBER</v>
          </cell>
          <cell r="G237" t="str">
            <v>R</v>
          </cell>
          <cell r="H237">
            <v>44621</v>
          </cell>
          <cell r="I237" t="str">
            <v xml:space="preserve">STANDARD </v>
          </cell>
          <cell r="J237">
            <v>2005008004</v>
          </cell>
          <cell r="K237" t="str">
            <v>JOKO DWI PRASETYO</v>
          </cell>
          <cell r="L237" t="str">
            <v>JDP</v>
          </cell>
          <cell r="M237">
            <v>2013032809</v>
          </cell>
          <cell r="N237" t="str">
            <v>ERIYANTO</v>
          </cell>
          <cell r="O237" t="str">
            <v>ERT</v>
          </cell>
          <cell r="P237" t="str">
            <v>idmTPHA@jbr.indomaret.co.id</v>
          </cell>
          <cell r="Q237" t="str">
            <v>KAB. SITUBONDO</v>
          </cell>
          <cell r="R237" t="str">
            <v>SDS</v>
          </cell>
        </row>
        <row r="238">
          <cell r="D238" t="str">
            <v>TQU7</v>
          </cell>
          <cell r="E238" t="str">
            <v>PANCUR</v>
          </cell>
          <cell r="F238" t="str">
            <v>JEMBER</v>
          </cell>
          <cell r="G238" t="str">
            <v>R</v>
          </cell>
          <cell r="H238">
            <v>45983</v>
          </cell>
          <cell r="I238" t="str">
            <v xml:space="preserve">STANDARD </v>
          </cell>
          <cell r="J238">
            <v>2005008004</v>
          </cell>
          <cell r="K238" t="str">
            <v>JOKO DWI PRASETYO</v>
          </cell>
          <cell r="L238" t="str">
            <v>JDP</v>
          </cell>
          <cell r="M238">
            <v>2013032809</v>
          </cell>
          <cell r="N238" t="str">
            <v>ERIYANTO</v>
          </cell>
          <cell r="O238" t="str">
            <v>ERT</v>
          </cell>
          <cell r="P238" t="str">
            <v>idmTQU7@jbr.indomaret.co.id</v>
          </cell>
          <cell r="Q238" t="str">
            <v>KAB. BONDOWOSO</v>
          </cell>
          <cell r="R238" t="str">
            <v>SDS</v>
          </cell>
        </row>
        <row r="239">
          <cell r="D239" t="str">
            <v>TWEK</v>
          </cell>
          <cell r="E239" t="str">
            <v>CEMPAKA - SITUBONDO</v>
          </cell>
          <cell r="F239" t="str">
            <v>JEMBER</v>
          </cell>
          <cell r="G239" t="str">
            <v>R</v>
          </cell>
          <cell r="H239">
            <v>41577</v>
          </cell>
          <cell r="I239" t="str">
            <v xml:space="preserve">STANDARD </v>
          </cell>
          <cell r="J239">
            <v>2005008004</v>
          </cell>
          <cell r="K239" t="str">
            <v>JOKO DWI PRASETYO</v>
          </cell>
          <cell r="L239" t="str">
            <v>JDP</v>
          </cell>
          <cell r="M239">
            <v>2013032809</v>
          </cell>
          <cell r="N239" t="str">
            <v>ERIYANTO</v>
          </cell>
          <cell r="O239" t="str">
            <v>ERT</v>
          </cell>
          <cell r="P239" t="str">
            <v>idmTWEK@jbr.indomaret.co.id</v>
          </cell>
          <cell r="Q239" t="str">
            <v>KAB. SITUBONDO</v>
          </cell>
          <cell r="R239" t="str">
            <v>SDS</v>
          </cell>
        </row>
        <row r="240">
          <cell r="D240" t="str">
            <v>F2JC</v>
          </cell>
          <cell r="E240" t="str">
            <v>PANJI LOR</v>
          </cell>
          <cell r="F240" t="str">
            <v>JEMBER</v>
          </cell>
          <cell r="G240" t="str">
            <v>F</v>
          </cell>
          <cell r="H240">
            <v>46021</v>
          </cell>
          <cell r="I240" t="str">
            <v xml:space="preserve">STANDARD </v>
          </cell>
          <cell r="J240">
            <v>2005008004</v>
          </cell>
          <cell r="K240" t="str">
            <v>JOKO DWI PRASETYO</v>
          </cell>
          <cell r="L240" t="str">
            <v>JDP</v>
          </cell>
          <cell r="M240">
            <v>2003007749</v>
          </cell>
          <cell r="N240" t="str">
            <v>FERY RUDI SANTARA</v>
          </cell>
          <cell r="O240" t="str">
            <v>FRA</v>
          </cell>
          <cell r="P240" t="str">
            <v>idF2JC@jbr.indomaret.co.id</v>
          </cell>
          <cell r="Q240" t="str">
            <v>KAB. SITUBONDO</v>
          </cell>
          <cell r="R240" t="str">
            <v>SDS</v>
          </cell>
        </row>
        <row r="241">
          <cell r="D241" t="str">
            <v>F65R</v>
          </cell>
          <cell r="E241" t="str">
            <v>RAYA PASIR PUTIH</v>
          </cell>
          <cell r="F241" t="str">
            <v>JEMBER</v>
          </cell>
          <cell r="G241" t="str">
            <v>F</v>
          </cell>
          <cell r="H241">
            <v>45087</v>
          </cell>
          <cell r="I241" t="str">
            <v xml:space="preserve">STANDARD </v>
          </cell>
          <cell r="J241">
            <v>2005008004</v>
          </cell>
          <cell r="K241" t="str">
            <v>JOKO DWI PRASETYO</v>
          </cell>
          <cell r="L241" t="str">
            <v>JDP</v>
          </cell>
          <cell r="M241">
            <v>2003007749</v>
          </cell>
          <cell r="N241" t="str">
            <v>FERY RUDI SANTARA</v>
          </cell>
          <cell r="O241" t="str">
            <v>FRA</v>
          </cell>
          <cell r="P241" t="str">
            <v>idF65R@jbr.indomaret.co.id</v>
          </cell>
          <cell r="Q241" t="str">
            <v>KAB. SITUBONDO</v>
          </cell>
          <cell r="R241" t="str">
            <v>SDS</v>
          </cell>
        </row>
        <row r="242">
          <cell r="D242" t="str">
            <v>FXDV</v>
          </cell>
          <cell r="E242" t="str">
            <v>PANARUKAN-SITUBONDO</v>
          </cell>
          <cell r="F242" t="str">
            <v>JEMBER</v>
          </cell>
          <cell r="G242" t="str">
            <v>F</v>
          </cell>
          <cell r="H242">
            <v>45108</v>
          </cell>
          <cell r="I242" t="str">
            <v xml:space="preserve">STANDARD </v>
          </cell>
          <cell r="J242">
            <v>2005008004</v>
          </cell>
          <cell r="K242" t="str">
            <v>JOKO DWI PRASETYO</v>
          </cell>
          <cell r="L242" t="str">
            <v>JDP</v>
          </cell>
          <cell r="M242">
            <v>2003007749</v>
          </cell>
          <cell r="N242" t="str">
            <v>FERY RUDI SANTARA</v>
          </cell>
          <cell r="O242" t="str">
            <v>FRA</v>
          </cell>
          <cell r="P242" t="str">
            <v>idFXDV@jbr.indomaret.co.id</v>
          </cell>
          <cell r="Q242" t="str">
            <v>KAB. SITUBONDO</v>
          </cell>
          <cell r="R242" t="str">
            <v>SDS</v>
          </cell>
        </row>
        <row r="243">
          <cell r="D243" t="str">
            <v>TA83</v>
          </cell>
          <cell r="E243" t="str">
            <v>MIMBAAN - SITUBONDO</v>
          </cell>
          <cell r="F243" t="str">
            <v>JEMBER</v>
          </cell>
          <cell r="G243" t="str">
            <v>R</v>
          </cell>
          <cell r="H243">
            <v>39476</v>
          </cell>
          <cell r="I243" t="str">
            <v>STANDARD NEW</v>
          </cell>
          <cell r="J243">
            <v>2005008004</v>
          </cell>
          <cell r="K243" t="str">
            <v>JOKO DWI PRASETYO</v>
          </cell>
          <cell r="L243" t="str">
            <v>JDP</v>
          </cell>
          <cell r="M243">
            <v>2003007749</v>
          </cell>
          <cell r="N243" t="str">
            <v>FERY RUDI SANTARA</v>
          </cell>
          <cell r="O243" t="str">
            <v>FRA</v>
          </cell>
          <cell r="P243" t="str">
            <v>idmTA83@jbr.indomaret.co.id</v>
          </cell>
          <cell r="Q243" t="str">
            <v>KAB. SITUBONDO</v>
          </cell>
          <cell r="R243" t="str">
            <v>SDN</v>
          </cell>
        </row>
        <row r="244">
          <cell r="D244" t="str">
            <v>TBEF</v>
          </cell>
          <cell r="E244" t="str">
            <v>KLATAKAN PANARUKAN</v>
          </cell>
          <cell r="F244" t="str">
            <v>JEMBER</v>
          </cell>
          <cell r="G244" t="str">
            <v>R</v>
          </cell>
          <cell r="H244">
            <v>43069</v>
          </cell>
          <cell r="I244" t="str">
            <v>STANDARD NEW</v>
          </cell>
          <cell r="J244">
            <v>2005008004</v>
          </cell>
          <cell r="K244" t="str">
            <v>JOKO DWI PRASETYO</v>
          </cell>
          <cell r="L244" t="str">
            <v>JDP</v>
          </cell>
          <cell r="M244">
            <v>2003007749</v>
          </cell>
          <cell r="N244" t="str">
            <v>FERY RUDI SANTARA</v>
          </cell>
          <cell r="O244" t="str">
            <v>FRA</v>
          </cell>
          <cell r="P244" t="str">
            <v>idmTBEF@jbr.indomaret.co.id</v>
          </cell>
          <cell r="Q244" t="str">
            <v>KAB. SITUBONDO</v>
          </cell>
          <cell r="R244" t="str">
            <v>SDN</v>
          </cell>
        </row>
        <row r="245">
          <cell r="D245" t="str">
            <v>TFJJ</v>
          </cell>
          <cell r="E245" t="str">
            <v>SITUBONDO</v>
          </cell>
          <cell r="F245" t="str">
            <v>JEMBER</v>
          </cell>
          <cell r="G245" t="str">
            <v>R</v>
          </cell>
          <cell r="H245">
            <v>41244</v>
          </cell>
          <cell r="I245" t="str">
            <v xml:space="preserve">STANDARD </v>
          </cell>
          <cell r="J245">
            <v>2005008004</v>
          </cell>
          <cell r="K245" t="str">
            <v>JOKO DWI PRASETYO</v>
          </cell>
          <cell r="L245" t="str">
            <v>JDP</v>
          </cell>
          <cell r="M245">
            <v>2003007749</v>
          </cell>
          <cell r="N245" t="str">
            <v>FERY RUDI SANTARA</v>
          </cell>
          <cell r="O245" t="str">
            <v>FRA</v>
          </cell>
          <cell r="P245" t="str">
            <v>idmTFJJ@jbr.indomaret.co.id</v>
          </cell>
          <cell r="Q245" t="str">
            <v>KAB. SITUBONDO</v>
          </cell>
          <cell r="R245" t="str">
            <v>SDS</v>
          </cell>
        </row>
        <row r="246">
          <cell r="D246" t="str">
            <v>TQFR</v>
          </cell>
          <cell r="E246" t="str">
            <v>PB SUDIRMAN 10</v>
          </cell>
          <cell r="F246" t="str">
            <v>JEMBER</v>
          </cell>
          <cell r="G246" t="str">
            <v>R</v>
          </cell>
          <cell r="H246">
            <v>42916</v>
          </cell>
          <cell r="I246" t="str">
            <v>STANDARD NEW</v>
          </cell>
          <cell r="J246">
            <v>2005008004</v>
          </cell>
          <cell r="K246" t="str">
            <v>JOKO DWI PRASETYO</v>
          </cell>
          <cell r="L246" t="str">
            <v>JDP</v>
          </cell>
          <cell r="M246">
            <v>2003007749</v>
          </cell>
          <cell r="N246" t="str">
            <v>FERY RUDI SANTARA</v>
          </cell>
          <cell r="O246" t="str">
            <v>FRA</v>
          </cell>
          <cell r="P246" t="str">
            <v>idmTQFR@jbr.indomaret.co.id</v>
          </cell>
          <cell r="Q246" t="str">
            <v>KAB. SITUBONDO</v>
          </cell>
          <cell r="R246" t="str">
            <v>SDN</v>
          </cell>
        </row>
        <row r="247">
          <cell r="D247" t="str">
            <v>TR69</v>
          </cell>
          <cell r="E247" t="str">
            <v>SUCIPTO SITUBONDO</v>
          </cell>
          <cell r="F247" t="str">
            <v>JEMBER</v>
          </cell>
          <cell r="G247" t="str">
            <v>R</v>
          </cell>
          <cell r="H247">
            <v>40694</v>
          </cell>
          <cell r="I247" t="str">
            <v xml:space="preserve">STANDARD </v>
          </cell>
          <cell r="J247">
            <v>2005008004</v>
          </cell>
          <cell r="K247" t="str">
            <v>JOKO DWI PRASETYO</v>
          </cell>
          <cell r="L247" t="str">
            <v>JDP</v>
          </cell>
          <cell r="M247">
            <v>2003007749</v>
          </cell>
          <cell r="N247" t="str">
            <v>FERY RUDI SANTARA</v>
          </cell>
          <cell r="O247" t="str">
            <v>FRA</v>
          </cell>
          <cell r="P247" t="str">
            <v>idmTR69@jbr.indomaret.co.id</v>
          </cell>
          <cell r="Q247" t="str">
            <v>KAB. SITUBONDO</v>
          </cell>
          <cell r="R247" t="str">
            <v>SDS</v>
          </cell>
        </row>
        <row r="248">
          <cell r="D248" t="str">
            <v>TRAX</v>
          </cell>
          <cell r="E248" t="str">
            <v>WRINGIN ANOM</v>
          </cell>
          <cell r="F248" t="str">
            <v>JEMBER</v>
          </cell>
          <cell r="G248" t="str">
            <v>R</v>
          </cell>
          <cell r="H248">
            <v>41426</v>
          </cell>
          <cell r="I248" t="str">
            <v xml:space="preserve">STANDARD </v>
          </cell>
          <cell r="J248">
            <v>2005008004</v>
          </cell>
          <cell r="K248" t="str">
            <v>JOKO DWI PRASETYO</v>
          </cell>
          <cell r="L248" t="str">
            <v>JDP</v>
          </cell>
          <cell r="M248">
            <v>2003007749</v>
          </cell>
          <cell r="N248" t="str">
            <v>FERY RUDI SANTARA</v>
          </cell>
          <cell r="O248" t="str">
            <v>FRA</v>
          </cell>
          <cell r="P248" t="str">
            <v>idmTRAX@jbr.indomaret.co.id</v>
          </cell>
          <cell r="Q248" t="str">
            <v>KAB. SITUBONDO</v>
          </cell>
          <cell r="R248" t="str">
            <v>SDS</v>
          </cell>
        </row>
        <row r="249">
          <cell r="D249" t="str">
            <v>TWKE</v>
          </cell>
          <cell r="E249" t="str">
            <v>ALAS MALANG</v>
          </cell>
          <cell r="F249" t="str">
            <v>JEMBER</v>
          </cell>
          <cell r="G249" t="str">
            <v>R</v>
          </cell>
          <cell r="H249">
            <v>42998</v>
          </cell>
          <cell r="I249" t="str">
            <v xml:space="preserve">STANDARD </v>
          </cell>
          <cell r="J249">
            <v>2005008004</v>
          </cell>
          <cell r="K249" t="str">
            <v>JOKO DWI PRASETYO</v>
          </cell>
          <cell r="L249" t="str">
            <v>JDP</v>
          </cell>
          <cell r="M249">
            <v>2003007749</v>
          </cell>
          <cell r="N249" t="str">
            <v>FERY RUDI SANTARA</v>
          </cell>
          <cell r="O249" t="str">
            <v>FRA</v>
          </cell>
          <cell r="P249" t="str">
            <v>idmTWKE@jbr.indomaret.co.id</v>
          </cell>
          <cell r="Q249" t="str">
            <v>KAB. SITUBONDO</v>
          </cell>
          <cell r="R249" t="str">
            <v>SDS</v>
          </cell>
        </row>
        <row r="250">
          <cell r="D250" t="str">
            <v>TXK2</v>
          </cell>
          <cell r="E250" t="str">
            <v>RAYA PASIR PUTIH KM 26</v>
          </cell>
          <cell r="F250" t="str">
            <v>JEMBER</v>
          </cell>
          <cell r="G250" t="str">
            <v>R</v>
          </cell>
          <cell r="H250">
            <v>45077</v>
          </cell>
          <cell r="I250" t="str">
            <v xml:space="preserve">STANDARD </v>
          </cell>
          <cell r="J250">
            <v>2005008004</v>
          </cell>
          <cell r="K250" t="str">
            <v>JOKO DWI PRASETYO</v>
          </cell>
          <cell r="L250" t="str">
            <v>JDP</v>
          </cell>
          <cell r="M250">
            <v>2003007749</v>
          </cell>
          <cell r="N250" t="str">
            <v>FERY RUDI SANTARA</v>
          </cell>
          <cell r="O250" t="str">
            <v>FRA</v>
          </cell>
          <cell r="P250" t="str">
            <v>idmTXK2@jbr.indomaret.co.id</v>
          </cell>
          <cell r="Q250" t="str">
            <v>KAB. SITUBONDO</v>
          </cell>
          <cell r="R250" t="str">
            <v>SDS</v>
          </cell>
        </row>
        <row r="251">
          <cell r="D251" t="str">
            <v>TYEY</v>
          </cell>
          <cell r="E251" t="str">
            <v>WR.SUPRATMAN</v>
          </cell>
          <cell r="F251" t="str">
            <v>JEMBER</v>
          </cell>
          <cell r="G251" t="str">
            <v>R</v>
          </cell>
          <cell r="H251">
            <v>44378</v>
          </cell>
          <cell r="I251" t="str">
            <v xml:space="preserve">STANDARD </v>
          </cell>
          <cell r="J251">
            <v>2005008004</v>
          </cell>
          <cell r="K251" t="str">
            <v>JOKO DWI PRASETYO</v>
          </cell>
          <cell r="L251" t="str">
            <v>JDP</v>
          </cell>
          <cell r="M251">
            <v>2003007749</v>
          </cell>
          <cell r="N251" t="str">
            <v>FERY RUDI SANTARA</v>
          </cell>
          <cell r="O251" t="str">
            <v>FRA</v>
          </cell>
          <cell r="P251" t="str">
            <v>idmTYEY@jbr.indomaret.co.id</v>
          </cell>
          <cell r="Q251" t="str">
            <v>KAB. SITUBONDO</v>
          </cell>
          <cell r="R251" t="str">
            <v>SDS</v>
          </cell>
        </row>
        <row r="252">
          <cell r="D252" t="str">
            <v>TRMY</v>
          </cell>
          <cell r="E252" t="str">
            <v>ANGGREK - SITUBONDO</v>
          </cell>
          <cell r="F252" t="str">
            <v>JEMBER</v>
          </cell>
          <cell r="G252" t="str">
            <v>F</v>
          </cell>
          <cell r="H252">
            <v>44348</v>
          </cell>
          <cell r="I252" t="str">
            <v xml:space="preserve">STANDARD </v>
          </cell>
          <cell r="J252">
            <v>2005008004</v>
          </cell>
          <cell r="K252" t="str">
            <v>JOKO DWI PRASETYO</v>
          </cell>
          <cell r="L252" t="str">
            <v>JDP</v>
          </cell>
          <cell r="M252">
            <v>2000000921</v>
          </cell>
          <cell r="N252" t="str">
            <v>KUSIYADI</v>
          </cell>
          <cell r="O252" t="str">
            <v>KSI</v>
          </cell>
          <cell r="P252" t="str">
            <v>idF55Q@jbr.indomaret.co.id</v>
          </cell>
          <cell r="Q252" t="str">
            <v>KAB. SITUBONDO</v>
          </cell>
          <cell r="R252" t="str">
            <v>SDS</v>
          </cell>
        </row>
        <row r="253">
          <cell r="D253" t="str">
            <v>FBGS</v>
          </cell>
          <cell r="E253" t="str">
            <v>KAPONGAN - STO</v>
          </cell>
          <cell r="F253" t="str">
            <v>JEMBER</v>
          </cell>
          <cell r="G253" t="str">
            <v>F</v>
          </cell>
          <cell r="H253">
            <v>44713</v>
          </cell>
          <cell r="I253" t="str">
            <v xml:space="preserve">STANDARD </v>
          </cell>
          <cell r="J253">
            <v>2005008004</v>
          </cell>
          <cell r="K253" t="str">
            <v>JOKO DWI PRASETYO</v>
          </cell>
          <cell r="L253" t="str">
            <v>JDP</v>
          </cell>
          <cell r="M253">
            <v>2000000921</v>
          </cell>
          <cell r="N253" t="str">
            <v>KUSIYADI</v>
          </cell>
          <cell r="O253" t="str">
            <v>KSI</v>
          </cell>
          <cell r="P253" t="str">
            <v>idFBGS@jbr.indomaret.co.id</v>
          </cell>
          <cell r="Q253" t="str">
            <v>KAB. SITUBONDO</v>
          </cell>
          <cell r="R253" t="str">
            <v>SDS</v>
          </cell>
        </row>
        <row r="254">
          <cell r="D254" t="str">
            <v>FHRT</v>
          </cell>
          <cell r="E254" t="str">
            <v>PANJI SITUBONDO</v>
          </cell>
          <cell r="F254" t="str">
            <v>JEMBER</v>
          </cell>
          <cell r="G254" t="str">
            <v>F</v>
          </cell>
          <cell r="H254">
            <v>45413</v>
          </cell>
          <cell r="I254" t="str">
            <v xml:space="preserve">STANDARD </v>
          </cell>
          <cell r="J254">
            <v>2005008004</v>
          </cell>
          <cell r="K254" t="str">
            <v>JOKO DWI PRASETYO</v>
          </cell>
          <cell r="L254" t="str">
            <v>JDP</v>
          </cell>
          <cell r="M254">
            <v>2000000921</v>
          </cell>
          <cell r="N254" t="str">
            <v>KUSIYADI</v>
          </cell>
          <cell r="O254" t="str">
            <v>KSI</v>
          </cell>
          <cell r="P254" t="str">
            <v>idFHRT@jbr.indomaret.co.id</v>
          </cell>
          <cell r="Q254" t="str">
            <v>KAB. SITUBONDO</v>
          </cell>
          <cell r="R254" t="str">
            <v>SDS</v>
          </cell>
        </row>
        <row r="255">
          <cell r="D255" t="str">
            <v>FQ49</v>
          </cell>
          <cell r="E255" t="str">
            <v>CURAH JERUH - JBR</v>
          </cell>
          <cell r="F255" t="str">
            <v>JEMBER</v>
          </cell>
          <cell r="G255" t="str">
            <v>F</v>
          </cell>
          <cell r="H255">
            <v>44228</v>
          </cell>
          <cell r="I255" t="str">
            <v xml:space="preserve">STANDARD </v>
          </cell>
          <cell r="J255">
            <v>2005008004</v>
          </cell>
          <cell r="K255" t="str">
            <v>JOKO DWI PRASETYO</v>
          </cell>
          <cell r="L255" t="str">
            <v>JDP</v>
          </cell>
          <cell r="M255">
            <v>2000000921</v>
          </cell>
          <cell r="N255" t="str">
            <v>KUSIYADI</v>
          </cell>
          <cell r="O255" t="str">
            <v>KSI</v>
          </cell>
          <cell r="P255" t="str">
            <v>idFQ49@jbr.indomaret.co.id</v>
          </cell>
          <cell r="Q255" t="str">
            <v>KAB. SITUBONDO</v>
          </cell>
          <cell r="R255" t="str">
            <v>SDS</v>
          </cell>
        </row>
        <row r="256">
          <cell r="D256" t="str">
            <v>FSTV</v>
          </cell>
          <cell r="E256" t="str">
            <v>CONGAPAN</v>
          </cell>
          <cell r="F256" t="str">
            <v>JEMBER</v>
          </cell>
          <cell r="G256" t="str">
            <v>F</v>
          </cell>
          <cell r="H256">
            <v>44945</v>
          </cell>
          <cell r="I256" t="str">
            <v xml:space="preserve">STANDARD </v>
          </cell>
          <cell r="J256">
            <v>2005008004</v>
          </cell>
          <cell r="K256" t="str">
            <v>JOKO DWI PRASETYO</v>
          </cell>
          <cell r="L256" t="str">
            <v>JDP</v>
          </cell>
          <cell r="M256">
            <v>2000000921</v>
          </cell>
          <cell r="N256" t="str">
            <v>KUSIYADI</v>
          </cell>
          <cell r="O256" t="str">
            <v>KSI</v>
          </cell>
          <cell r="P256" t="str">
            <v>idFSTV@jbr.indomaret.co.id</v>
          </cell>
          <cell r="Q256" t="str">
            <v>KAB. SITUBONDO</v>
          </cell>
          <cell r="R256" t="str">
            <v>SDS</v>
          </cell>
        </row>
        <row r="257">
          <cell r="D257" t="str">
            <v>FWRE</v>
          </cell>
          <cell r="E257" t="str">
            <v>ARJASA - SITUBONDO</v>
          </cell>
          <cell r="F257" t="str">
            <v>JEMBER</v>
          </cell>
          <cell r="G257" t="str">
            <v>F</v>
          </cell>
          <cell r="H257">
            <v>44621</v>
          </cell>
          <cell r="I257" t="str">
            <v xml:space="preserve">STANDARD </v>
          </cell>
          <cell r="J257">
            <v>2005008004</v>
          </cell>
          <cell r="K257" t="str">
            <v>JOKO DWI PRASETYO</v>
          </cell>
          <cell r="L257" t="str">
            <v>JDP</v>
          </cell>
          <cell r="M257">
            <v>2000000921</v>
          </cell>
          <cell r="N257" t="str">
            <v>KUSIYADI</v>
          </cell>
          <cell r="O257" t="str">
            <v>KSI</v>
          </cell>
          <cell r="P257" t="str">
            <v>idFWRE@jbr.indomaret.co.id</v>
          </cell>
          <cell r="Q257" t="str">
            <v>KAB. SITUBONDO</v>
          </cell>
          <cell r="R257" t="str">
            <v>SDS</v>
          </cell>
        </row>
        <row r="258">
          <cell r="D258" t="str">
            <v>T2QN</v>
          </cell>
          <cell r="E258" t="str">
            <v>KENDIT</v>
          </cell>
          <cell r="F258" t="str">
            <v>JEMBER</v>
          </cell>
          <cell r="G258" t="str">
            <v>R</v>
          </cell>
          <cell r="H258">
            <v>44674</v>
          </cell>
          <cell r="I258" t="str">
            <v xml:space="preserve">STANDARD </v>
          </cell>
          <cell r="J258">
            <v>2005008004</v>
          </cell>
          <cell r="K258" t="str">
            <v>JOKO DWI PRASETYO</v>
          </cell>
          <cell r="L258" t="str">
            <v>JDP</v>
          </cell>
          <cell r="M258">
            <v>2000000921</v>
          </cell>
          <cell r="N258" t="str">
            <v>KUSIYADI</v>
          </cell>
          <cell r="O258" t="str">
            <v>KSI</v>
          </cell>
          <cell r="P258" t="str">
            <v>idmT2QN@jbr.indomaret.co.id</v>
          </cell>
          <cell r="Q258" t="str">
            <v>KAB. SITUBONDO</v>
          </cell>
          <cell r="R258" t="str">
            <v>SDS</v>
          </cell>
        </row>
        <row r="259">
          <cell r="D259" t="str">
            <v>T9NN</v>
          </cell>
          <cell r="E259" t="str">
            <v>RAYA BASUKI RAHMAT - STB</v>
          </cell>
          <cell r="F259" t="str">
            <v>JEMBER</v>
          </cell>
          <cell r="G259" t="str">
            <v>R</v>
          </cell>
          <cell r="H259">
            <v>41544</v>
          </cell>
          <cell r="I259" t="str">
            <v xml:space="preserve">STANDARD </v>
          </cell>
          <cell r="J259">
            <v>2005008004</v>
          </cell>
          <cell r="K259" t="str">
            <v>JOKO DWI PRASETYO</v>
          </cell>
          <cell r="L259" t="str">
            <v>JDP</v>
          </cell>
          <cell r="M259">
            <v>2000000921</v>
          </cell>
          <cell r="N259" t="str">
            <v>KUSIYADI</v>
          </cell>
          <cell r="O259" t="str">
            <v>KSI</v>
          </cell>
          <cell r="P259" t="str">
            <v>idmT9NN@jbr.indomaret.co.id</v>
          </cell>
          <cell r="Q259" t="str">
            <v>KAB. SITUBONDO</v>
          </cell>
          <cell r="R259" t="str">
            <v>SDS</v>
          </cell>
        </row>
        <row r="260">
          <cell r="D260" t="str">
            <v>TEEB</v>
          </cell>
          <cell r="E260" t="str">
            <v>WIJAYA KUSUMA STB</v>
          </cell>
          <cell r="F260" t="str">
            <v>JEMBER</v>
          </cell>
          <cell r="G260" t="str">
            <v>R</v>
          </cell>
          <cell r="H260">
            <v>43556</v>
          </cell>
          <cell r="I260" t="str">
            <v xml:space="preserve">STANDARD </v>
          </cell>
          <cell r="J260">
            <v>2005008004</v>
          </cell>
          <cell r="K260" t="str">
            <v>JOKO DWI PRASETYO</v>
          </cell>
          <cell r="L260" t="str">
            <v>JDP</v>
          </cell>
          <cell r="M260">
            <v>2000000921</v>
          </cell>
          <cell r="N260" t="str">
            <v>KUSIYADI</v>
          </cell>
          <cell r="O260" t="str">
            <v>KSI</v>
          </cell>
          <cell r="P260" t="str">
            <v>idmTEEB@jbr.indomaret.co.id</v>
          </cell>
          <cell r="Q260" t="str">
            <v>KAB. SITUBONDO</v>
          </cell>
          <cell r="R260" t="str">
            <v>SDS</v>
          </cell>
        </row>
        <row r="261">
          <cell r="D261" t="str">
            <v>TMJH</v>
          </cell>
          <cell r="E261" t="str">
            <v>TALKANDANG</v>
          </cell>
          <cell r="F261" t="str">
            <v>JEMBER</v>
          </cell>
          <cell r="G261" t="str">
            <v>R</v>
          </cell>
          <cell r="H261">
            <v>43001</v>
          </cell>
          <cell r="I261" t="str">
            <v xml:space="preserve">STANDARD </v>
          </cell>
          <cell r="J261">
            <v>2005008004</v>
          </cell>
          <cell r="K261" t="str">
            <v>JOKO DWI PRASETYO</v>
          </cell>
          <cell r="L261" t="str">
            <v>JDP</v>
          </cell>
          <cell r="M261">
            <v>2000000921</v>
          </cell>
          <cell r="N261" t="str">
            <v>KUSIYADI</v>
          </cell>
          <cell r="O261" t="str">
            <v>KSI</v>
          </cell>
          <cell r="P261" t="str">
            <v>idmTMJH@jbr.indomaret.co.id</v>
          </cell>
          <cell r="Q261" t="str">
            <v>KAB. SITUBONDO</v>
          </cell>
          <cell r="R261" t="str">
            <v>SDS</v>
          </cell>
        </row>
        <row r="262">
          <cell r="D262" t="str">
            <v>TRYC</v>
          </cell>
          <cell r="E262" t="str">
            <v>BASUKI RAHMAD MIMBAAN</v>
          </cell>
          <cell r="F262" t="str">
            <v>JEMBER</v>
          </cell>
          <cell r="G262" t="str">
            <v>R</v>
          </cell>
          <cell r="H262">
            <v>42549</v>
          </cell>
          <cell r="I262" t="str">
            <v xml:space="preserve">STANDARD </v>
          </cell>
          <cell r="J262">
            <v>2005008004</v>
          </cell>
          <cell r="K262" t="str">
            <v>JOKO DWI PRASETYO</v>
          </cell>
          <cell r="L262" t="str">
            <v>JDP</v>
          </cell>
          <cell r="M262">
            <v>2000000921</v>
          </cell>
          <cell r="N262" t="str">
            <v>KUSIYADI</v>
          </cell>
          <cell r="O262" t="str">
            <v>KSI</v>
          </cell>
          <cell r="P262" t="str">
            <v>idmTRYC@jbr.indomaret.co.id</v>
          </cell>
          <cell r="Q262" t="str">
            <v>KAB. SITUBONDO</v>
          </cell>
          <cell r="R262" t="str">
            <v>SDS</v>
          </cell>
        </row>
        <row r="263">
          <cell r="D263" t="str">
            <v>TTSQ</v>
          </cell>
          <cell r="E263" t="str">
            <v>RAYA MANGARAN - STB</v>
          </cell>
          <cell r="F263" t="str">
            <v>JEMBER</v>
          </cell>
          <cell r="G263" t="str">
            <v>R</v>
          </cell>
          <cell r="H263">
            <v>41544</v>
          </cell>
          <cell r="I263" t="str">
            <v xml:space="preserve">STANDARD </v>
          </cell>
          <cell r="J263">
            <v>2005008004</v>
          </cell>
          <cell r="K263" t="str">
            <v>JOKO DWI PRASETYO</v>
          </cell>
          <cell r="L263" t="str">
            <v>JDP</v>
          </cell>
          <cell r="M263">
            <v>2000000921</v>
          </cell>
          <cell r="N263" t="str">
            <v>KUSIYADI</v>
          </cell>
          <cell r="O263" t="str">
            <v>KSI</v>
          </cell>
          <cell r="P263" t="str">
            <v>idmTTSQ@jbr.indomaret.co.id</v>
          </cell>
          <cell r="Q263" t="str">
            <v>KAB. SITUBONDO</v>
          </cell>
          <cell r="R263" t="str">
            <v>SDS</v>
          </cell>
        </row>
        <row r="264">
          <cell r="D264" t="str">
            <v>F04R</v>
          </cell>
          <cell r="E264" t="str">
            <v>SUKOSARI</v>
          </cell>
          <cell r="F264" t="str">
            <v>JEMBER</v>
          </cell>
          <cell r="G264" t="str">
            <v>F</v>
          </cell>
          <cell r="H264">
            <v>45870</v>
          </cell>
          <cell r="I264" t="str">
            <v xml:space="preserve">STANDARD </v>
          </cell>
          <cell r="J264">
            <v>2005008004</v>
          </cell>
          <cell r="K264" t="str">
            <v>JOKO DWI PRASETYO</v>
          </cell>
          <cell r="L264" t="str">
            <v>JDP</v>
          </cell>
          <cell r="M264">
            <v>2015579915</v>
          </cell>
          <cell r="N264" t="str">
            <v>VINCENTIUS AARON PARAMAWISESA HERINA</v>
          </cell>
          <cell r="O264" t="str">
            <v>VAR</v>
          </cell>
          <cell r="P264" t="str">
            <v>idF04R@jbr.indomaret.co.id</v>
          </cell>
          <cell r="Q264" t="str">
            <v>KAB. BONDOWOSO</v>
          </cell>
          <cell r="R264" t="str">
            <v>SDS</v>
          </cell>
        </row>
        <row r="265">
          <cell r="D265" t="str">
            <v>F0B5</v>
          </cell>
          <cell r="E265" t="str">
            <v>BATAAN TENGGARANG</v>
          </cell>
          <cell r="F265" t="str">
            <v>JEMBER</v>
          </cell>
          <cell r="G265" t="str">
            <v>F</v>
          </cell>
          <cell r="H265">
            <v>44678</v>
          </cell>
          <cell r="I265" t="str">
            <v xml:space="preserve">STANDARD </v>
          </cell>
          <cell r="J265">
            <v>2005008004</v>
          </cell>
          <cell r="K265" t="str">
            <v>JOKO DWI PRASETYO</v>
          </cell>
          <cell r="L265" t="str">
            <v>JDP</v>
          </cell>
          <cell r="M265">
            <v>2015579915</v>
          </cell>
          <cell r="N265" t="str">
            <v>VINCENTIUS AARON PARAMAWISESA HERINA</v>
          </cell>
          <cell r="O265" t="str">
            <v>VAR</v>
          </cell>
          <cell r="P265" t="str">
            <v>idF0B5@jbr.indomaret.co.id</v>
          </cell>
          <cell r="Q265" t="str">
            <v>KAB. BONDOWOSO</v>
          </cell>
          <cell r="R265" t="str">
            <v>SDS</v>
          </cell>
        </row>
        <row r="266">
          <cell r="D266" t="str">
            <v>FHZ2</v>
          </cell>
          <cell r="E266" t="str">
            <v>SUMBER WRINGIN - BDO</v>
          </cell>
          <cell r="F266" t="str">
            <v>JEMBER</v>
          </cell>
          <cell r="G266" t="str">
            <v>F</v>
          </cell>
          <cell r="H266">
            <v>45868</v>
          </cell>
          <cell r="I266" t="str">
            <v xml:space="preserve">STANDARD </v>
          </cell>
          <cell r="J266">
            <v>2005008004</v>
          </cell>
          <cell r="K266" t="str">
            <v>JOKO DWI PRASETYO</v>
          </cell>
          <cell r="L266" t="str">
            <v>JDP</v>
          </cell>
          <cell r="M266">
            <v>2015579915</v>
          </cell>
          <cell r="N266" t="str">
            <v>VINCENTIUS AARON PARAMAWISESA HERINA</v>
          </cell>
          <cell r="O266" t="str">
            <v>VAR</v>
          </cell>
          <cell r="P266" t="str">
            <v>idFHZ2@jbr.indomaret.co.id</v>
          </cell>
          <cell r="Q266" t="str">
            <v>KAB. BONDOWOSO</v>
          </cell>
          <cell r="R266" t="str">
            <v>SDS</v>
          </cell>
        </row>
        <row r="267">
          <cell r="D267" t="str">
            <v>FJOU</v>
          </cell>
          <cell r="E267" t="str">
            <v>CINDOGO - BONDOWOSO</v>
          </cell>
          <cell r="F267" t="str">
            <v>JEMBER</v>
          </cell>
          <cell r="G267" t="str">
            <v>F</v>
          </cell>
          <cell r="H267">
            <v>45566</v>
          </cell>
          <cell r="I267" t="str">
            <v xml:space="preserve">STANDARD </v>
          </cell>
          <cell r="J267">
            <v>2005008004</v>
          </cell>
          <cell r="K267" t="str">
            <v>JOKO DWI PRASETYO</v>
          </cell>
          <cell r="L267" t="str">
            <v>JDP</v>
          </cell>
          <cell r="M267">
            <v>2015579915</v>
          </cell>
          <cell r="N267" t="str">
            <v>VINCENTIUS AARON PARAMAWISESA HERINA</v>
          </cell>
          <cell r="O267" t="str">
            <v>VAR</v>
          </cell>
          <cell r="P267" t="str">
            <v>idFJOU@jbr.indomaret.co.id</v>
          </cell>
          <cell r="Q267" t="str">
            <v>KAB. BONDOWOSO</v>
          </cell>
          <cell r="R267" t="str">
            <v>SDS</v>
          </cell>
        </row>
        <row r="268">
          <cell r="D268" t="str">
            <v>FZEM</v>
          </cell>
          <cell r="E268" t="str">
            <v>KAWAH IJEN</v>
          </cell>
          <cell r="F268" t="str">
            <v>JEMBER</v>
          </cell>
          <cell r="G268" t="str">
            <v>F</v>
          </cell>
          <cell r="H268">
            <v>44866</v>
          </cell>
          <cell r="I268" t="str">
            <v xml:space="preserve">STANDARD </v>
          </cell>
          <cell r="J268">
            <v>2005008004</v>
          </cell>
          <cell r="K268" t="str">
            <v>JOKO DWI PRASETYO</v>
          </cell>
          <cell r="L268" t="str">
            <v>JDP</v>
          </cell>
          <cell r="M268">
            <v>2015579915</v>
          </cell>
          <cell r="N268" t="str">
            <v>VINCENTIUS AARON PARAMAWISESA HERINA</v>
          </cell>
          <cell r="O268" t="str">
            <v>VAR</v>
          </cell>
          <cell r="P268" t="str">
            <v>idFZEM@jbr.indomaret.co.id</v>
          </cell>
          <cell r="Q268" t="str">
            <v>KAB. BONDOWOSO</v>
          </cell>
          <cell r="R268" t="str">
            <v>SDS</v>
          </cell>
        </row>
        <row r="269">
          <cell r="D269" t="str">
            <v>T2D2</v>
          </cell>
          <cell r="E269" t="str">
            <v>RAYA SITUBONDO TAPEN</v>
          </cell>
          <cell r="F269" t="str">
            <v>JEMBER</v>
          </cell>
          <cell r="G269" t="str">
            <v>R</v>
          </cell>
          <cell r="H269">
            <v>46020</v>
          </cell>
          <cell r="I269" t="str">
            <v xml:space="preserve">STANDARD </v>
          </cell>
          <cell r="J269">
            <v>2005008004</v>
          </cell>
          <cell r="K269" t="str">
            <v>JOKO DWI PRASETYO</v>
          </cell>
          <cell r="L269" t="str">
            <v>JDP</v>
          </cell>
          <cell r="M269">
            <v>2015579915</v>
          </cell>
          <cell r="N269" t="str">
            <v>VINCENTIUS AARON PARAMAWISESA HERINA</v>
          </cell>
          <cell r="O269" t="str">
            <v>VAR</v>
          </cell>
          <cell r="P269" t="str">
            <v>idmT2D2@jbr.indomaret.co.id</v>
          </cell>
          <cell r="Q269" t="str">
            <v>KAB. BONDOWOSO</v>
          </cell>
          <cell r="R269" t="str">
            <v>SDS</v>
          </cell>
        </row>
        <row r="270">
          <cell r="D270" t="str">
            <v>TF08</v>
          </cell>
          <cell r="E270" t="str">
            <v>WONOSARI</v>
          </cell>
          <cell r="F270" t="str">
            <v>JEMBER</v>
          </cell>
          <cell r="G270" t="str">
            <v>R</v>
          </cell>
          <cell r="H270">
            <v>38546</v>
          </cell>
          <cell r="I270" t="str">
            <v>STANDARD NEW</v>
          </cell>
          <cell r="J270">
            <v>2005008004</v>
          </cell>
          <cell r="K270" t="str">
            <v>JOKO DWI PRASETYO</v>
          </cell>
          <cell r="L270" t="str">
            <v>JDP</v>
          </cell>
          <cell r="M270">
            <v>2015579915</v>
          </cell>
          <cell r="N270" t="str">
            <v>VINCENTIUS AARON PARAMAWISESA HERINA</v>
          </cell>
          <cell r="O270" t="str">
            <v>VAR</v>
          </cell>
          <cell r="P270" t="str">
            <v>idmTF08@jbr.indomaret.co.id</v>
          </cell>
          <cell r="Q270" t="str">
            <v>KAB. BONDOWOSO</v>
          </cell>
          <cell r="R270" t="str">
            <v>SDN</v>
          </cell>
        </row>
        <row r="271">
          <cell r="D271" t="str">
            <v>THI3</v>
          </cell>
          <cell r="E271" t="str">
            <v>RAYA LOMBOK WETAN</v>
          </cell>
          <cell r="F271" t="str">
            <v>JEMBER</v>
          </cell>
          <cell r="G271" t="str">
            <v>R</v>
          </cell>
          <cell r="H271">
            <v>45176</v>
          </cell>
          <cell r="I271" t="str">
            <v xml:space="preserve">STANDARD </v>
          </cell>
          <cell r="J271">
            <v>2005008004</v>
          </cell>
          <cell r="K271" t="str">
            <v>JOKO DWI PRASETYO</v>
          </cell>
          <cell r="L271" t="str">
            <v>JDP</v>
          </cell>
          <cell r="M271">
            <v>2015579915</v>
          </cell>
          <cell r="N271" t="str">
            <v>VINCENTIUS AARON PARAMAWISESA HERINA</v>
          </cell>
          <cell r="O271" t="str">
            <v>VAR</v>
          </cell>
          <cell r="P271" t="str">
            <v>idmTHI3@jbr.indomaret.co.id</v>
          </cell>
          <cell r="Q271" t="str">
            <v>KAB. BONDOWOSO</v>
          </cell>
          <cell r="R271" t="str">
            <v>SDS</v>
          </cell>
        </row>
        <row r="272">
          <cell r="D272" t="str">
            <v>TJJK</v>
          </cell>
          <cell r="E272" t="str">
            <v>KELABANG - BONDOWOSO</v>
          </cell>
          <cell r="F272" t="str">
            <v>JEMBER</v>
          </cell>
          <cell r="G272" t="str">
            <v>R</v>
          </cell>
          <cell r="H272">
            <v>41627</v>
          </cell>
          <cell r="I272" t="str">
            <v xml:space="preserve">STANDARD </v>
          </cell>
          <cell r="J272">
            <v>2005008004</v>
          </cell>
          <cell r="K272" t="str">
            <v>JOKO DWI PRASETYO</v>
          </cell>
          <cell r="L272" t="str">
            <v>JDP</v>
          </cell>
          <cell r="M272">
            <v>2015579915</v>
          </cell>
          <cell r="N272" t="str">
            <v>VINCENTIUS AARON PARAMAWISESA HERINA</v>
          </cell>
          <cell r="O272" t="str">
            <v>VAR</v>
          </cell>
          <cell r="P272" t="str">
            <v>idmTJJK@jbr.indomaret.co.id</v>
          </cell>
          <cell r="Q272" t="str">
            <v>KAB. BONDOWOSO</v>
          </cell>
          <cell r="R272" t="str">
            <v>SDS</v>
          </cell>
        </row>
        <row r="273">
          <cell r="D273" t="str">
            <v>TKY3</v>
          </cell>
          <cell r="E273" t="str">
            <v>TRAKTAKAN BONDOWOSO</v>
          </cell>
          <cell r="F273" t="str">
            <v>JEMBER</v>
          </cell>
          <cell r="G273" t="str">
            <v>R</v>
          </cell>
          <cell r="H273">
            <v>44205</v>
          </cell>
          <cell r="I273" t="str">
            <v xml:space="preserve">STANDARD </v>
          </cell>
          <cell r="J273">
            <v>2005008004</v>
          </cell>
          <cell r="K273" t="str">
            <v>JOKO DWI PRASETYO</v>
          </cell>
          <cell r="L273" t="str">
            <v>JDP</v>
          </cell>
          <cell r="M273">
            <v>2015579915</v>
          </cell>
          <cell r="N273" t="str">
            <v>VINCENTIUS AARON PARAMAWISESA HERINA</v>
          </cell>
          <cell r="O273" t="str">
            <v>VAR</v>
          </cell>
          <cell r="P273" t="str">
            <v>idmTKY3@jbr.indomaret.co.id</v>
          </cell>
          <cell r="Q273" t="str">
            <v>KAB. BONDOWOSO</v>
          </cell>
          <cell r="R273" t="str">
            <v>SDS</v>
          </cell>
        </row>
        <row r="274">
          <cell r="D274" t="str">
            <v>TPIJ</v>
          </cell>
          <cell r="E274" t="str">
            <v>KAPURAN BDO</v>
          </cell>
          <cell r="F274" t="str">
            <v>JEMBER</v>
          </cell>
          <cell r="G274" t="str">
            <v>R</v>
          </cell>
          <cell r="H274">
            <v>41698</v>
          </cell>
          <cell r="I274" t="str">
            <v xml:space="preserve">STANDARD </v>
          </cell>
          <cell r="J274">
            <v>2005008004</v>
          </cell>
          <cell r="K274" t="str">
            <v>JOKO DWI PRASETYO</v>
          </cell>
          <cell r="L274" t="str">
            <v>JDP</v>
          </cell>
          <cell r="M274">
            <v>2015579915</v>
          </cell>
          <cell r="N274" t="str">
            <v>VINCENTIUS AARON PARAMAWISESA HERINA</v>
          </cell>
          <cell r="O274" t="str">
            <v>VAR</v>
          </cell>
          <cell r="P274" t="str">
            <v>idmTPIJ@jbr.indomaret.co.id</v>
          </cell>
          <cell r="Q274" t="str">
            <v>KAB. BONDOWOSO</v>
          </cell>
          <cell r="R274" t="str">
            <v>SDS</v>
          </cell>
        </row>
        <row r="275">
          <cell r="D275" t="str">
            <v>TS59</v>
          </cell>
          <cell r="E275" t="str">
            <v>TENGGARANG BONDOWOSO</v>
          </cell>
          <cell r="F275" t="str">
            <v>JEMBER</v>
          </cell>
          <cell r="G275" t="str">
            <v>R</v>
          </cell>
          <cell r="H275">
            <v>40719</v>
          </cell>
          <cell r="I275" t="str">
            <v xml:space="preserve">STANDARD </v>
          </cell>
          <cell r="J275">
            <v>2005008004</v>
          </cell>
          <cell r="K275" t="str">
            <v>JOKO DWI PRASETYO</v>
          </cell>
          <cell r="L275" t="str">
            <v>JDP</v>
          </cell>
          <cell r="M275">
            <v>2015579915</v>
          </cell>
          <cell r="N275" t="str">
            <v>VINCENTIUS AARON PARAMAWISESA HERINA</v>
          </cell>
          <cell r="O275" t="str">
            <v>VAR</v>
          </cell>
          <cell r="P275" t="str">
            <v>idmTS59@jbr.indomaret.co.id</v>
          </cell>
          <cell r="Q275" t="str">
            <v>KAB. BONDOWOSO</v>
          </cell>
          <cell r="R275" t="str">
            <v>SDS</v>
          </cell>
        </row>
        <row r="276">
          <cell r="D276" t="str">
            <v>F0BU</v>
          </cell>
          <cell r="E276" t="str">
            <v>DIPONEGORO 25</v>
          </cell>
          <cell r="F276" t="str">
            <v>JEMBER</v>
          </cell>
          <cell r="G276" t="str">
            <v>F</v>
          </cell>
          <cell r="H276">
            <v>45100</v>
          </cell>
          <cell r="I276" t="str">
            <v xml:space="preserve">STANDARD </v>
          </cell>
          <cell r="J276">
            <v>2004002687</v>
          </cell>
          <cell r="K276" t="str">
            <v>KHOIRUL ANAM</v>
          </cell>
          <cell r="L276" t="str">
            <v>KAM</v>
          </cell>
          <cell r="M276">
            <v>2013058345</v>
          </cell>
          <cell r="N276" t="str">
            <v>AGUS SAPUTRA</v>
          </cell>
          <cell r="O276" t="str">
            <v>AGA</v>
          </cell>
          <cell r="P276" t="str">
            <v>idF0BU@jbr.indomaret.co.id</v>
          </cell>
          <cell r="Q276" t="str">
            <v>KAB. JEMBER</v>
          </cell>
          <cell r="R276" t="str">
            <v>SDS</v>
          </cell>
        </row>
        <row r="277">
          <cell r="D277" t="str">
            <v>FCSR</v>
          </cell>
          <cell r="E277" t="str">
            <v>MUNDUREJO - JEMBER</v>
          </cell>
          <cell r="F277" t="str">
            <v>JEMBER</v>
          </cell>
          <cell r="G277" t="str">
            <v>F</v>
          </cell>
          <cell r="H277">
            <v>44197</v>
          </cell>
          <cell r="I277" t="str">
            <v xml:space="preserve">STANDARD </v>
          </cell>
          <cell r="J277">
            <v>2004002687</v>
          </cell>
          <cell r="K277" t="str">
            <v>KHOIRUL ANAM</v>
          </cell>
          <cell r="L277" t="str">
            <v>KAM</v>
          </cell>
          <cell r="M277">
            <v>2013058345</v>
          </cell>
          <cell r="N277" t="str">
            <v>AGUS SAPUTRA</v>
          </cell>
          <cell r="O277" t="str">
            <v>AGA</v>
          </cell>
          <cell r="P277" t="str">
            <v>idFCSR@jbr.indomaret.co.id</v>
          </cell>
          <cell r="Q277" t="str">
            <v>KAB. JEMBER</v>
          </cell>
          <cell r="R277" t="str">
            <v>SDS</v>
          </cell>
        </row>
        <row r="278">
          <cell r="D278" t="str">
            <v>FNBN</v>
          </cell>
          <cell r="E278" t="str">
            <v>PUGER 11</v>
          </cell>
          <cell r="F278" t="str">
            <v>JEMBER</v>
          </cell>
          <cell r="G278" t="str">
            <v>F</v>
          </cell>
          <cell r="H278">
            <v>45444</v>
          </cell>
          <cell r="I278" t="str">
            <v xml:space="preserve">STANDARD </v>
          </cell>
          <cell r="J278">
            <v>2004002687</v>
          </cell>
          <cell r="K278" t="str">
            <v>KHOIRUL ANAM</v>
          </cell>
          <cell r="L278" t="str">
            <v>KAM</v>
          </cell>
          <cell r="M278">
            <v>2013058345</v>
          </cell>
          <cell r="N278" t="str">
            <v>AGUS SAPUTRA</v>
          </cell>
          <cell r="O278" t="str">
            <v>AGA</v>
          </cell>
          <cell r="P278" t="str">
            <v>idFNBN@jbr.indomaret.co.id</v>
          </cell>
          <cell r="Q278" t="str">
            <v>KAB. JEMBER</v>
          </cell>
          <cell r="R278" t="str">
            <v>SDS</v>
          </cell>
        </row>
        <row r="279">
          <cell r="D279" t="str">
            <v>T0PO</v>
          </cell>
          <cell r="E279" t="str">
            <v>KRAKATAU 143 JBR</v>
          </cell>
          <cell r="F279" t="str">
            <v>JEMBER</v>
          </cell>
          <cell r="G279" t="str">
            <v>R</v>
          </cell>
          <cell r="H279">
            <v>41709</v>
          </cell>
          <cell r="I279" t="str">
            <v xml:space="preserve">STANDARD </v>
          </cell>
          <cell r="J279">
            <v>2004002687</v>
          </cell>
          <cell r="K279" t="str">
            <v>KHOIRUL ANAM</v>
          </cell>
          <cell r="L279" t="str">
            <v>KAM</v>
          </cell>
          <cell r="M279">
            <v>2013058345</v>
          </cell>
          <cell r="N279" t="str">
            <v>AGUS SAPUTRA</v>
          </cell>
          <cell r="O279" t="str">
            <v>AGA</v>
          </cell>
          <cell r="P279" t="str">
            <v>idmT0PO@jbr.indomaret.co.id</v>
          </cell>
          <cell r="Q279" t="str">
            <v>KAB. JEMBER</v>
          </cell>
          <cell r="R279" t="str">
            <v>SDS</v>
          </cell>
        </row>
        <row r="280">
          <cell r="D280" t="str">
            <v>T1VK</v>
          </cell>
          <cell r="E280" t="str">
            <v>AHMAD YANI  PUGER  - JBR</v>
          </cell>
          <cell r="F280" t="str">
            <v>JEMBER</v>
          </cell>
          <cell r="G280" t="str">
            <v>R</v>
          </cell>
          <cell r="H280">
            <v>43344</v>
          </cell>
          <cell r="I280" t="str">
            <v>STANDARD NEW</v>
          </cell>
          <cell r="J280">
            <v>2004002687</v>
          </cell>
          <cell r="K280" t="str">
            <v>KHOIRUL ANAM</v>
          </cell>
          <cell r="L280" t="str">
            <v>KAM</v>
          </cell>
          <cell r="M280">
            <v>2013058345</v>
          </cell>
          <cell r="N280" t="str">
            <v>AGUS SAPUTRA</v>
          </cell>
          <cell r="O280" t="str">
            <v>AGA</v>
          </cell>
          <cell r="P280" t="str">
            <v>idmT1VK@jbr.indomaret.co.id</v>
          </cell>
          <cell r="Q280" t="str">
            <v>KAB. JEMBER</v>
          </cell>
          <cell r="R280" t="str">
            <v>SDN</v>
          </cell>
        </row>
        <row r="281">
          <cell r="D281" t="str">
            <v>T3DS</v>
          </cell>
          <cell r="E281" t="str">
            <v>MENAMPU - JBR</v>
          </cell>
          <cell r="F281" t="str">
            <v>JEMBER</v>
          </cell>
          <cell r="G281" t="str">
            <v>R</v>
          </cell>
          <cell r="H281">
            <v>40936</v>
          </cell>
          <cell r="I281" t="str">
            <v xml:space="preserve">STANDARD </v>
          </cell>
          <cell r="J281">
            <v>2004002687</v>
          </cell>
          <cell r="K281" t="str">
            <v>KHOIRUL ANAM</v>
          </cell>
          <cell r="L281" t="str">
            <v>KAM</v>
          </cell>
          <cell r="M281">
            <v>2013058345</v>
          </cell>
          <cell r="N281" t="str">
            <v>AGUS SAPUTRA</v>
          </cell>
          <cell r="O281" t="str">
            <v>AGA</v>
          </cell>
          <cell r="P281" t="str">
            <v>idmT3DS@jbr.indomaret.co.id</v>
          </cell>
          <cell r="Q281" t="str">
            <v>KAB. JEMBER</v>
          </cell>
          <cell r="R281" t="str">
            <v>SDS</v>
          </cell>
        </row>
        <row r="282">
          <cell r="D282" t="str">
            <v>T5EN</v>
          </cell>
          <cell r="E282" t="str">
            <v>RAYA PADOMASAN - JBR</v>
          </cell>
          <cell r="F282" t="str">
            <v>JEMBER</v>
          </cell>
          <cell r="G282" t="str">
            <v>R</v>
          </cell>
          <cell r="H282">
            <v>40900</v>
          </cell>
          <cell r="I282" t="str">
            <v xml:space="preserve">STANDARD </v>
          </cell>
          <cell r="J282">
            <v>2004002687</v>
          </cell>
          <cell r="K282" t="str">
            <v>KHOIRUL ANAM</v>
          </cell>
          <cell r="L282" t="str">
            <v>KAM</v>
          </cell>
          <cell r="M282">
            <v>2013058345</v>
          </cell>
          <cell r="N282" t="str">
            <v>AGUS SAPUTRA</v>
          </cell>
          <cell r="O282" t="str">
            <v>AGA</v>
          </cell>
          <cell r="P282" t="str">
            <v>idmT5EN@jbr.indomaret.co.id</v>
          </cell>
          <cell r="Q282" t="str">
            <v>KAB. JEMBER</v>
          </cell>
          <cell r="R282" t="str">
            <v>SDS</v>
          </cell>
        </row>
        <row r="283">
          <cell r="D283" t="str">
            <v>TAUV</v>
          </cell>
          <cell r="E283" t="str">
            <v>PUGER</v>
          </cell>
          <cell r="F283" t="str">
            <v>JEMBER</v>
          </cell>
          <cell r="G283" t="str">
            <v>R</v>
          </cell>
          <cell r="H283">
            <v>42675</v>
          </cell>
          <cell r="I283" t="str">
            <v xml:space="preserve">STANDARD </v>
          </cell>
          <cell r="J283">
            <v>2004002687</v>
          </cell>
          <cell r="K283" t="str">
            <v>KHOIRUL ANAM</v>
          </cell>
          <cell r="L283" t="str">
            <v>KAM</v>
          </cell>
          <cell r="M283">
            <v>2013058345</v>
          </cell>
          <cell r="N283" t="str">
            <v>AGUS SAPUTRA</v>
          </cell>
          <cell r="O283" t="str">
            <v>AGA</v>
          </cell>
          <cell r="P283" t="str">
            <v>idmTAUV@jbr.indomaret.co.id</v>
          </cell>
          <cell r="Q283" t="str">
            <v>KAB. JEMBER</v>
          </cell>
          <cell r="R283" t="str">
            <v>SDS</v>
          </cell>
        </row>
        <row r="284">
          <cell r="D284" t="str">
            <v>TESL</v>
          </cell>
          <cell r="E284" t="str">
            <v>A YANI 99</v>
          </cell>
          <cell r="F284" t="str">
            <v>JEMBER</v>
          </cell>
          <cell r="G284" t="str">
            <v>R</v>
          </cell>
          <cell r="H284">
            <v>45504</v>
          </cell>
          <cell r="I284" t="str">
            <v xml:space="preserve">STANDARD </v>
          </cell>
          <cell r="J284">
            <v>2004002687</v>
          </cell>
          <cell r="K284" t="str">
            <v>KHOIRUL ANAM</v>
          </cell>
          <cell r="L284" t="str">
            <v>KAM</v>
          </cell>
          <cell r="M284">
            <v>2013058345</v>
          </cell>
          <cell r="N284" t="str">
            <v>AGUS SAPUTRA</v>
          </cell>
          <cell r="O284" t="str">
            <v>AGA</v>
          </cell>
          <cell r="P284" t="str">
            <v>idmTESL@jbr.indomaret.co.id</v>
          </cell>
          <cell r="Q284" t="str">
            <v>KAB. JEMBER</v>
          </cell>
          <cell r="R284" t="str">
            <v>SDS</v>
          </cell>
        </row>
        <row r="285">
          <cell r="D285" t="str">
            <v>TIHO</v>
          </cell>
          <cell r="E285" t="str">
            <v>WONOREJO - JEMBER</v>
          </cell>
          <cell r="F285" t="str">
            <v>JEMBER</v>
          </cell>
          <cell r="G285" t="str">
            <v>R</v>
          </cell>
          <cell r="H285">
            <v>41027</v>
          </cell>
          <cell r="I285" t="str">
            <v>STANDARD NEW</v>
          </cell>
          <cell r="J285">
            <v>2004002687</v>
          </cell>
          <cell r="K285" t="str">
            <v>KHOIRUL ANAM</v>
          </cell>
          <cell r="L285" t="str">
            <v>KAM</v>
          </cell>
          <cell r="M285">
            <v>2013058345</v>
          </cell>
          <cell r="N285" t="str">
            <v>AGUS SAPUTRA</v>
          </cell>
          <cell r="O285" t="str">
            <v>AGA</v>
          </cell>
          <cell r="P285" t="str">
            <v>idmTIHO@jbr.indomaret.co.id</v>
          </cell>
          <cell r="Q285" t="str">
            <v>KAB. JEMBER</v>
          </cell>
          <cell r="R285" t="str">
            <v>SDN</v>
          </cell>
        </row>
        <row r="286">
          <cell r="D286" t="str">
            <v>TNDX</v>
          </cell>
          <cell r="E286" t="str">
            <v>BASUKI RAHMAT KASIYAN JEMBER</v>
          </cell>
          <cell r="F286" t="str">
            <v>JEMBER</v>
          </cell>
          <cell r="G286" t="str">
            <v>R</v>
          </cell>
          <cell r="H286">
            <v>43132</v>
          </cell>
          <cell r="I286" t="str">
            <v xml:space="preserve">STANDARD </v>
          </cell>
          <cell r="J286">
            <v>2004002687</v>
          </cell>
          <cell r="K286" t="str">
            <v>KHOIRUL ANAM</v>
          </cell>
          <cell r="L286" t="str">
            <v>KAM</v>
          </cell>
          <cell r="M286">
            <v>2013058345</v>
          </cell>
          <cell r="N286" t="str">
            <v>AGUS SAPUTRA</v>
          </cell>
          <cell r="O286" t="str">
            <v>AGA</v>
          </cell>
          <cell r="P286" t="str">
            <v>idmTNDX@jbr.indomaret.co.id</v>
          </cell>
          <cell r="Q286" t="str">
            <v>KAB. JEMBER</v>
          </cell>
          <cell r="R286" t="str">
            <v>SDS</v>
          </cell>
        </row>
        <row r="287">
          <cell r="D287" t="str">
            <v>TRST</v>
          </cell>
          <cell r="E287" t="str">
            <v>UMBULSARI</v>
          </cell>
          <cell r="F287" t="str">
            <v>JEMBER</v>
          </cell>
          <cell r="G287" t="str">
            <v>R</v>
          </cell>
          <cell r="H287">
            <v>42917</v>
          </cell>
          <cell r="I287" t="str">
            <v xml:space="preserve">STANDARD </v>
          </cell>
          <cell r="J287">
            <v>2004002687</v>
          </cell>
          <cell r="K287" t="str">
            <v>KHOIRUL ANAM</v>
          </cell>
          <cell r="L287" t="str">
            <v>KAM</v>
          </cell>
          <cell r="M287">
            <v>2013058345</v>
          </cell>
          <cell r="N287" t="str">
            <v>AGUS SAPUTRA</v>
          </cell>
          <cell r="O287" t="str">
            <v>AGA</v>
          </cell>
          <cell r="P287" t="str">
            <v>idmTRST@jbr.indomaret.co.id</v>
          </cell>
          <cell r="Q287" t="str">
            <v>KAB. JEMBER</v>
          </cell>
          <cell r="R287" t="str">
            <v>SDS</v>
          </cell>
        </row>
        <row r="288">
          <cell r="D288" t="str">
            <v>TRSU</v>
          </cell>
          <cell r="E288" t="str">
            <v>GUMUK MAS</v>
          </cell>
          <cell r="F288" t="str">
            <v>JEMBER</v>
          </cell>
          <cell r="G288" t="str">
            <v>R</v>
          </cell>
          <cell r="H288">
            <v>42491</v>
          </cell>
          <cell r="I288" t="str">
            <v xml:space="preserve">STANDARD </v>
          </cell>
          <cell r="J288">
            <v>2004002687</v>
          </cell>
          <cell r="K288" t="str">
            <v>KHOIRUL ANAM</v>
          </cell>
          <cell r="L288" t="str">
            <v>KAM</v>
          </cell>
          <cell r="M288">
            <v>2013058345</v>
          </cell>
          <cell r="N288" t="str">
            <v>AGUS SAPUTRA</v>
          </cell>
          <cell r="O288" t="str">
            <v>AGA</v>
          </cell>
          <cell r="P288" t="str">
            <v>idmTRSU@jbr.indomaret.co.id</v>
          </cell>
          <cell r="Q288" t="str">
            <v>KAB. JEMBER</v>
          </cell>
          <cell r="R288" t="str">
            <v>SDS</v>
          </cell>
        </row>
        <row r="289">
          <cell r="D289" t="str">
            <v>F4NK</v>
          </cell>
          <cell r="E289" t="str">
            <v>MERLION PARK</v>
          </cell>
          <cell r="F289" t="str">
            <v>JEMBER</v>
          </cell>
          <cell r="G289" t="str">
            <v>F</v>
          </cell>
          <cell r="H289">
            <v>45894</v>
          </cell>
          <cell r="I289" t="str">
            <v xml:space="preserve">STANDARD </v>
          </cell>
          <cell r="J289">
            <v>2004002687</v>
          </cell>
          <cell r="K289" t="str">
            <v>KHOIRUL ANAM</v>
          </cell>
          <cell r="L289" t="str">
            <v>KAM</v>
          </cell>
          <cell r="M289">
            <v>2012079583</v>
          </cell>
          <cell r="N289" t="str">
            <v>BAWON SYARONI</v>
          </cell>
          <cell r="O289" t="str">
            <v>BWN</v>
          </cell>
          <cell r="P289" t="str">
            <v>idF4NK@jbr.indomaret.co.id</v>
          </cell>
          <cell r="Q289" t="str">
            <v>KAB. LUMAJANG</v>
          </cell>
          <cell r="R289" t="str">
            <v>SDS</v>
          </cell>
        </row>
        <row r="290">
          <cell r="D290" t="str">
            <v>FFXV</v>
          </cell>
          <cell r="E290" t="str">
            <v>MAYOR KAMARI SAMPURNO</v>
          </cell>
          <cell r="F290" t="str">
            <v>JEMBER</v>
          </cell>
          <cell r="G290" t="str">
            <v>F</v>
          </cell>
          <cell r="H290">
            <v>46078</v>
          </cell>
          <cell r="I290" t="str">
            <v xml:space="preserve">STANDARD </v>
          </cell>
          <cell r="J290">
            <v>2004002687</v>
          </cell>
          <cell r="K290" t="str">
            <v>KHOIRUL ANAM</v>
          </cell>
          <cell r="L290" t="str">
            <v>KAM</v>
          </cell>
          <cell r="M290">
            <v>2012079583</v>
          </cell>
          <cell r="N290" t="str">
            <v>BAWON SYARONI</v>
          </cell>
          <cell r="O290" t="str">
            <v>BWN</v>
          </cell>
          <cell r="P290" t="str">
            <v>idFFXV@jbr.indomaret.co.id</v>
          </cell>
          <cell r="Q290" t="str">
            <v>KAB. LUMAJANG</v>
          </cell>
          <cell r="R290" t="str">
            <v>SDS</v>
          </cell>
        </row>
        <row r="291">
          <cell r="D291" t="str">
            <v>FSEA</v>
          </cell>
          <cell r="E291" t="str">
            <v>TUKUM LUMAJANG</v>
          </cell>
          <cell r="F291" t="str">
            <v>JEMBER</v>
          </cell>
          <cell r="G291" t="str">
            <v>F</v>
          </cell>
          <cell r="H291">
            <v>44986</v>
          </cell>
          <cell r="I291" t="str">
            <v xml:space="preserve">STANDARD </v>
          </cell>
          <cell r="J291">
            <v>2004002687</v>
          </cell>
          <cell r="K291" t="str">
            <v>KHOIRUL ANAM</v>
          </cell>
          <cell r="L291" t="str">
            <v>KAM</v>
          </cell>
          <cell r="M291">
            <v>2012079583</v>
          </cell>
          <cell r="N291" t="str">
            <v>BAWON SYARONI</v>
          </cell>
          <cell r="O291" t="str">
            <v>BWN</v>
          </cell>
          <cell r="P291" t="str">
            <v>idFSEA@jbr.indomaret.co.id</v>
          </cell>
          <cell r="Q291" t="str">
            <v>KAB. LUMAJANG</v>
          </cell>
          <cell r="R291" t="str">
            <v>SDS</v>
          </cell>
        </row>
        <row r="292">
          <cell r="D292" t="str">
            <v>FZXK</v>
          </cell>
          <cell r="E292" t="str">
            <v>A. YANI FRC</v>
          </cell>
          <cell r="F292" t="str">
            <v>JEMBER</v>
          </cell>
          <cell r="G292" t="str">
            <v>F</v>
          </cell>
          <cell r="H292">
            <v>45055</v>
          </cell>
          <cell r="I292" t="str">
            <v>STANDARD NEW</v>
          </cell>
          <cell r="J292">
            <v>2004002687</v>
          </cell>
          <cell r="K292" t="str">
            <v>KHOIRUL ANAM</v>
          </cell>
          <cell r="L292" t="str">
            <v>KAM</v>
          </cell>
          <cell r="M292">
            <v>2012079583</v>
          </cell>
          <cell r="N292" t="str">
            <v>BAWON SYARONI</v>
          </cell>
          <cell r="O292" t="str">
            <v>BWN</v>
          </cell>
          <cell r="P292" t="str">
            <v>idFZXK@jbr.indomaret.co.id</v>
          </cell>
          <cell r="Q292" t="str">
            <v>KAB. LUMAJANG</v>
          </cell>
          <cell r="R292" t="str">
            <v>SDN</v>
          </cell>
        </row>
        <row r="293">
          <cell r="D293" t="str">
            <v>TAQH</v>
          </cell>
          <cell r="E293" t="str">
            <v>NOGOSARI ROWOKANGKUNG</v>
          </cell>
          <cell r="F293" t="str">
            <v>JEMBER</v>
          </cell>
          <cell r="G293" t="str">
            <v>R</v>
          </cell>
          <cell r="H293">
            <v>43097</v>
          </cell>
          <cell r="I293" t="str">
            <v xml:space="preserve">STANDARD </v>
          </cell>
          <cell r="J293">
            <v>2004002687</v>
          </cell>
          <cell r="K293" t="str">
            <v>KHOIRUL ANAM</v>
          </cell>
          <cell r="L293" t="str">
            <v>KAM</v>
          </cell>
          <cell r="M293">
            <v>2012079583</v>
          </cell>
          <cell r="N293" t="str">
            <v>BAWON SYARONI</v>
          </cell>
          <cell r="O293" t="str">
            <v>BWN</v>
          </cell>
          <cell r="P293" t="str">
            <v>idmTAQH@jbr.indomaret.co.id</v>
          </cell>
          <cell r="Q293" t="str">
            <v>KAB. LUMAJANG</v>
          </cell>
          <cell r="R293" t="str">
            <v>SDS</v>
          </cell>
        </row>
        <row r="294">
          <cell r="D294" t="str">
            <v>TDST</v>
          </cell>
          <cell r="E294" t="str">
            <v>RAYA MUNDER</v>
          </cell>
          <cell r="F294" t="str">
            <v>JEMBER</v>
          </cell>
          <cell r="G294" t="str">
            <v>R</v>
          </cell>
          <cell r="H294">
            <v>42612</v>
          </cell>
          <cell r="I294" t="str">
            <v xml:space="preserve">STANDARD </v>
          </cell>
          <cell r="J294">
            <v>2004002687</v>
          </cell>
          <cell r="K294" t="str">
            <v>KHOIRUL ANAM</v>
          </cell>
          <cell r="L294" t="str">
            <v>KAM</v>
          </cell>
          <cell r="M294">
            <v>2012079583</v>
          </cell>
          <cell r="N294" t="str">
            <v>BAWON SYARONI</v>
          </cell>
          <cell r="O294" t="str">
            <v>BWN</v>
          </cell>
          <cell r="P294" t="str">
            <v>idmTDST@jbr.indomaret.co.id</v>
          </cell>
          <cell r="Q294" t="str">
            <v>KAB. LUMAJANG</v>
          </cell>
          <cell r="R294" t="str">
            <v>SDS</v>
          </cell>
        </row>
        <row r="295">
          <cell r="D295" t="str">
            <v>TF72</v>
          </cell>
          <cell r="E295" t="str">
            <v>YOSOWILANGUN</v>
          </cell>
          <cell r="F295" t="str">
            <v>JEMBER</v>
          </cell>
          <cell r="G295" t="str">
            <v>R</v>
          </cell>
          <cell r="H295">
            <v>38895</v>
          </cell>
          <cell r="I295" t="str">
            <v xml:space="preserve">STANDARD </v>
          </cell>
          <cell r="J295">
            <v>2004002687</v>
          </cell>
          <cell r="K295" t="str">
            <v>KHOIRUL ANAM</v>
          </cell>
          <cell r="L295" t="str">
            <v>KAM</v>
          </cell>
          <cell r="M295">
            <v>2012079583</v>
          </cell>
          <cell r="N295" t="str">
            <v>BAWON SYARONI</v>
          </cell>
          <cell r="O295" t="str">
            <v>BWN</v>
          </cell>
          <cell r="P295" t="str">
            <v>idmTF72@jbr.indomaret.co.id</v>
          </cell>
          <cell r="Q295" t="str">
            <v>KAB. LUMAJANG</v>
          </cell>
          <cell r="R295" t="str">
            <v>SDS</v>
          </cell>
        </row>
        <row r="296">
          <cell r="D296" t="str">
            <v>TGSC</v>
          </cell>
          <cell r="E296" t="str">
            <v>KARANGANYAR</v>
          </cell>
          <cell r="F296" t="str">
            <v>JEMBER</v>
          </cell>
          <cell r="G296" t="str">
            <v>R</v>
          </cell>
          <cell r="H296">
            <v>43403</v>
          </cell>
          <cell r="I296" t="str">
            <v xml:space="preserve">STANDARD </v>
          </cell>
          <cell r="J296">
            <v>2004002687</v>
          </cell>
          <cell r="K296" t="str">
            <v>KHOIRUL ANAM</v>
          </cell>
          <cell r="L296" t="str">
            <v>KAM</v>
          </cell>
          <cell r="M296">
            <v>2012079583</v>
          </cell>
          <cell r="N296" t="str">
            <v>BAWON SYARONI</v>
          </cell>
          <cell r="O296" t="str">
            <v>BWN</v>
          </cell>
          <cell r="P296" t="str">
            <v>idmTGSC@jbr.indomaret.co.id</v>
          </cell>
          <cell r="Q296" t="str">
            <v>KAB. LUMAJANG</v>
          </cell>
          <cell r="R296" t="str">
            <v>SDS</v>
          </cell>
        </row>
        <row r="297">
          <cell r="D297" t="str">
            <v>TJDR</v>
          </cell>
          <cell r="E297" t="str">
            <v>KEBONSARI</v>
          </cell>
          <cell r="F297" t="str">
            <v>JEMBER</v>
          </cell>
          <cell r="G297" t="str">
            <v>R</v>
          </cell>
          <cell r="H297">
            <v>42738</v>
          </cell>
          <cell r="I297" t="str">
            <v xml:space="preserve">STANDARD </v>
          </cell>
          <cell r="J297">
            <v>2004002687</v>
          </cell>
          <cell r="K297" t="str">
            <v>KHOIRUL ANAM</v>
          </cell>
          <cell r="L297" t="str">
            <v>KAM</v>
          </cell>
          <cell r="M297">
            <v>2012079583</v>
          </cell>
          <cell r="N297" t="str">
            <v>BAWON SYARONI</v>
          </cell>
          <cell r="O297" t="str">
            <v>BWN</v>
          </cell>
          <cell r="P297" t="str">
            <v>idmTJDR@jbr.indomaret.co.id</v>
          </cell>
          <cell r="Q297" t="str">
            <v>KAB. LUMAJANG</v>
          </cell>
          <cell r="R297" t="str">
            <v>SDS</v>
          </cell>
        </row>
        <row r="298">
          <cell r="D298" t="str">
            <v>TOI3</v>
          </cell>
          <cell r="E298" t="str">
            <v>RAYA TEKUNG</v>
          </cell>
          <cell r="F298" t="str">
            <v>JEMBER</v>
          </cell>
          <cell r="G298" t="str">
            <v>R</v>
          </cell>
          <cell r="H298">
            <v>45805</v>
          </cell>
          <cell r="I298" t="str">
            <v xml:space="preserve">STANDARD </v>
          </cell>
          <cell r="J298">
            <v>2004002687</v>
          </cell>
          <cell r="K298" t="str">
            <v>KHOIRUL ANAM</v>
          </cell>
          <cell r="L298" t="str">
            <v>KAM</v>
          </cell>
          <cell r="M298">
            <v>2012079583</v>
          </cell>
          <cell r="N298" t="str">
            <v>BAWON SYARONI</v>
          </cell>
          <cell r="O298" t="str">
            <v>BWN</v>
          </cell>
          <cell r="P298" t="str">
            <v>idmTOI3@jbr.indomaret.co.id</v>
          </cell>
          <cell r="Q298" t="str">
            <v>KAB. LUMAJANG</v>
          </cell>
          <cell r="R298" t="str">
            <v>SDS</v>
          </cell>
        </row>
        <row r="299">
          <cell r="D299" t="str">
            <v>TOP7</v>
          </cell>
          <cell r="E299" t="str">
            <v>KALIPEPE</v>
          </cell>
          <cell r="F299" t="str">
            <v>JEMBER</v>
          </cell>
          <cell r="G299" t="str">
            <v>R</v>
          </cell>
          <cell r="H299">
            <v>42727</v>
          </cell>
          <cell r="I299" t="str">
            <v xml:space="preserve">STANDARD </v>
          </cell>
          <cell r="J299">
            <v>2004002687</v>
          </cell>
          <cell r="K299" t="str">
            <v>KHOIRUL ANAM</v>
          </cell>
          <cell r="L299" t="str">
            <v>KAM</v>
          </cell>
          <cell r="M299">
            <v>2012079583</v>
          </cell>
          <cell r="N299" t="str">
            <v>BAWON SYARONI</v>
          </cell>
          <cell r="O299" t="str">
            <v>BWN</v>
          </cell>
          <cell r="P299" t="str">
            <v>idmTOP7@jbr.indomaret.co.id</v>
          </cell>
          <cell r="Q299" t="str">
            <v>KAB. LUMAJANG</v>
          </cell>
          <cell r="R299" t="str">
            <v>SDS</v>
          </cell>
        </row>
        <row r="300">
          <cell r="D300" t="str">
            <v>TP2L</v>
          </cell>
          <cell r="E300" t="str">
            <v>RAYA KARANGBENDO</v>
          </cell>
          <cell r="F300" t="str">
            <v>JEMBER</v>
          </cell>
          <cell r="G300" t="str">
            <v>R</v>
          </cell>
          <cell r="H300">
            <v>46081</v>
          </cell>
          <cell r="I300" t="str">
            <v>STANDARD NEW</v>
          </cell>
          <cell r="J300">
            <v>2004002687</v>
          </cell>
          <cell r="K300" t="str">
            <v>KHOIRUL ANAM</v>
          </cell>
          <cell r="L300" t="str">
            <v>KAM</v>
          </cell>
          <cell r="M300">
            <v>2012079583</v>
          </cell>
          <cell r="N300" t="str">
            <v>BAWON SYARONI</v>
          </cell>
          <cell r="O300" t="str">
            <v>BWN</v>
          </cell>
          <cell r="P300" t="str">
            <v>idmTP2L@jbr.indomaret.co.id</v>
          </cell>
          <cell r="Q300" t="str">
            <v>KAB. LUMAJANG</v>
          </cell>
          <cell r="R300" t="str">
            <v>SDN</v>
          </cell>
        </row>
        <row r="301">
          <cell r="D301" t="str">
            <v>TSLM</v>
          </cell>
          <cell r="E301" t="str">
            <v>MAYJEN SUKARTIYO</v>
          </cell>
          <cell r="F301" t="str">
            <v>JEMBER</v>
          </cell>
          <cell r="G301" t="str">
            <v>R</v>
          </cell>
          <cell r="H301">
            <v>42609</v>
          </cell>
          <cell r="I301" t="str">
            <v xml:space="preserve">STANDARD </v>
          </cell>
          <cell r="J301">
            <v>2004002687</v>
          </cell>
          <cell r="K301" t="str">
            <v>KHOIRUL ANAM</v>
          </cell>
          <cell r="L301" t="str">
            <v>KAM</v>
          </cell>
          <cell r="M301">
            <v>2012079583</v>
          </cell>
          <cell r="N301" t="str">
            <v>BAWON SYARONI</v>
          </cell>
          <cell r="O301" t="str">
            <v>BWN</v>
          </cell>
          <cell r="P301" t="str">
            <v>idmTSLM@jbr.indomaret.co.id</v>
          </cell>
          <cell r="Q301" t="str">
            <v>KAB. LUMAJANG</v>
          </cell>
          <cell r="R301" t="str">
            <v>SDS</v>
          </cell>
        </row>
        <row r="302">
          <cell r="D302" t="str">
            <v>F652</v>
          </cell>
          <cell r="E302" t="str">
            <v>BALUNG</v>
          </cell>
          <cell r="F302" t="str">
            <v>JEMBER</v>
          </cell>
          <cell r="G302" t="str">
            <v>F</v>
          </cell>
          <cell r="H302">
            <v>44538</v>
          </cell>
          <cell r="I302" t="str">
            <v xml:space="preserve">STANDARD </v>
          </cell>
          <cell r="J302">
            <v>2004002687</v>
          </cell>
          <cell r="K302" t="str">
            <v>KHOIRUL ANAM</v>
          </cell>
          <cell r="L302" t="str">
            <v>KAM</v>
          </cell>
          <cell r="M302">
            <v>2008420165</v>
          </cell>
          <cell r="N302" t="str">
            <v>IQBAL ROJIB</v>
          </cell>
          <cell r="O302" t="str">
            <v>IRB</v>
          </cell>
          <cell r="P302" t="str">
            <v>idF652@jbr.indomaret.co.id</v>
          </cell>
          <cell r="Q302" t="str">
            <v>KAB. JEMBER</v>
          </cell>
          <cell r="R302" t="str">
            <v>SDS</v>
          </cell>
        </row>
        <row r="303">
          <cell r="D303" t="str">
            <v>FHHA</v>
          </cell>
          <cell r="E303" t="str">
            <v>RAYA BANGSALSARI</v>
          </cell>
          <cell r="F303" t="str">
            <v>JEMBER</v>
          </cell>
          <cell r="G303" t="str">
            <v>F</v>
          </cell>
          <cell r="H303">
            <v>44773</v>
          </cell>
          <cell r="I303" t="str">
            <v xml:space="preserve">STANDARD </v>
          </cell>
          <cell r="J303">
            <v>2004002687</v>
          </cell>
          <cell r="K303" t="str">
            <v>KHOIRUL ANAM</v>
          </cell>
          <cell r="L303" t="str">
            <v>KAM</v>
          </cell>
          <cell r="M303">
            <v>2008420165</v>
          </cell>
          <cell r="N303" t="str">
            <v>IQBAL ROJIB</v>
          </cell>
          <cell r="O303" t="str">
            <v>IRB</v>
          </cell>
          <cell r="P303" t="str">
            <v>idFHHA@jbr.indomaret.co.id</v>
          </cell>
          <cell r="Q303" t="str">
            <v>KAB. JEMBER</v>
          </cell>
          <cell r="R303" t="str">
            <v>SDS</v>
          </cell>
        </row>
        <row r="304">
          <cell r="D304" t="str">
            <v>FLTP</v>
          </cell>
          <cell r="E304" t="str">
            <v>RAMBIPUJI 2</v>
          </cell>
          <cell r="F304" t="str">
            <v>JEMBER</v>
          </cell>
          <cell r="G304" t="str">
            <v>F</v>
          </cell>
          <cell r="H304">
            <v>44197</v>
          </cell>
          <cell r="I304" t="str">
            <v xml:space="preserve">STANDARD </v>
          </cell>
          <cell r="J304">
            <v>2004002687</v>
          </cell>
          <cell r="K304" t="str">
            <v>KHOIRUL ANAM</v>
          </cell>
          <cell r="L304" t="str">
            <v>KAM</v>
          </cell>
          <cell r="M304">
            <v>2008420165</v>
          </cell>
          <cell r="N304" t="str">
            <v>IQBAL ROJIB</v>
          </cell>
          <cell r="O304" t="str">
            <v>IRB</v>
          </cell>
          <cell r="P304" t="str">
            <v>idFLTP@jbr.indomaret.co.id</v>
          </cell>
          <cell r="Q304" t="str">
            <v>KAB. JEMBER</v>
          </cell>
          <cell r="R304" t="str">
            <v>SDS</v>
          </cell>
        </row>
        <row r="305">
          <cell r="D305" t="str">
            <v>FSIL</v>
          </cell>
          <cell r="E305" t="str">
            <v>PECORO</v>
          </cell>
          <cell r="F305" t="str">
            <v>JEMBER</v>
          </cell>
          <cell r="G305" t="str">
            <v>F</v>
          </cell>
          <cell r="H305">
            <v>45505</v>
          </cell>
          <cell r="I305" t="str">
            <v xml:space="preserve">STANDARD </v>
          </cell>
          <cell r="J305">
            <v>2004002687</v>
          </cell>
          <cell r="K305" t="str">
            <v>KHOIRUL ANAM</v>
          </cell>
          <cell r="L305" t="str">
            <v>KAM</v>
          </cell>
          <cell r="M305">
            <v>2008420165</v>
          </cell>
          <cell r="N305" t="str">
            <v>IQBAL ROJIB</v>
          </cell>
          <cell r="O305" t="str">
            <v>IRB</v>
          </cell>
          <cell r="P305" t="str">
            <v>idFSIL@jbr.indomaret.co.id</v>
          </cell>
          <cell r="Q305" t="str">
            <v>KAB. JEMBER</v>
          </cell>
          <cell r="R305" t="str">
            <v>SDS</v>
          </cell>
        </row>
        <row r="306">
          <cell r="D306" t="str">
            <v>FXC0</v>
          </cell>
          <cell r="E306" t="str">
            <v>BALUNG KULON - JEMBER</v>
          </cell>
          <cell r="F306" t="str">
            <v>JEMBER</v>
          </cell>
          <cell r="G306" t="str">
            <v>F</v>
          </cell>
          <cell r="H306">
            <v>44652</v>
          </cell>
          <cell r="I306" t="str">
            <v xml:space="preserve">STANDARD </v>
          </cell>
          <cell r="J306">
            <v>2004002687</v>
          </cell>
          <cell r="K306" t="str">
            <v>KHOIRUL ANAM</v>
          </cell>
          <cell r="L306" t="str">
            <v>KAM</v>
          </cell>
          <cell r="M306">
            <v>2008420165</v>
          </cell>
          <cell r="N306" t="str">
            <v>IQBAL ROJIB</v>
          </cell>
          <cell r="O306" t="str">
            <v>IRB</v>
          </cell>
          <cell r="P306" t="str">
            <v>idFXC0@jbr.indomaret.co.id</v>
          </cell>
          <cell r="Q306" t="str">
            <v>KAB. JEMBER</v>
          </cell>
          <cell r="R306" t="str">
            <v>SDS</v>
          </cell>
        </row>
        <row r="307">
          <cell r="D307" t="str">
            <v>T55P</v>
          </cell>
          <cell r="E307" t="str">
            <v>ROWOTAMTU - JEMBER</v>
          </cell>
          <cell r="F307" t="str">
            <v>JEMBER</v>
          </cell>
          <cell r="G307" t="str">
            <v>R</v>
          </cell>
          <cell r="H307">
            <v>41474</v>
          </cell>
          <cell r="I307" t="str">
            <v xml:space="preserve">STANDARD </v>
          </cell>
          <cell r="J307">
            <v>2004002687</v>
          </cell>
          <cell r="K307" t="str">
            <v>KHOIRUL ANAM</v>
          </cell>
          <cell r="L307" t="str">
            <v>KAM</v>
          </cell>
          <cell r="M307">
            <v>2008420165</v>
          </cell>
          <cell r="N307" t="str">
            <v>IQBAL ROJIB</v>
          </cell>
          <cell r="O307" t="str">
            <v>IRB</v>
          </cell>
          <cell r="P307" t="str">
            <v>idmT55P@jbr.indomaret.co.id</v>
          </cell>
          <cell r="Q307" t="str">
            <v>KAB. JEMBER</v>
          </cell>
          <cell r="R307" t="str">
            <v>SDS</v>
          </cell>
        </row>
        <row r="308">
          <cell r="D308" t="str">
            <v>TDFG</v>
          </cell>
          <cell r="E308" t="str">
            <v>MANGUN SARKORO</v>
          </cell>
          <cell r="F308" t="str">
            <v>JEMBER</v>
          </cell>
          <cell r="G308" t="str">
            <v>R</v>
          </cell>
          <cell r="H308">
            <v>43891</v>
          </cell>
          <cell r="I308" t="str">
            <v xml:space="preserve">STANDARD </v>
          </cell>
          <cell r="J308">
            <v>2004002687</v>
          </cell>
          <cell r="K308" t="str">
            <v>KHOIRUL ANAM</v>
          </cell>
          <cell r="L308" t="str">
            <v>KAM</v>
          </cell>
          <cell r="M308">
            <v>2008420165</v>
          </cell>
          <cell r="N308" t="str">
            <v>IQBAL ROJIB</v>
          </cell>
          <cell r="O308" t="str">
            <v>IRB</v>
          </cell>
          <cell r="P308" t="str">
            <v>idmTDFG@jbr.indomaret.co.id</v>
          </cell>
          <cell r="Q308" t="str">
            <v>KAB. JEMBER</v>
          </cell>
          <cell r="R308" t="str">
            <v>SDS</v>
          </cell>
        </row>
        <row r="309">
          <cell r="D309" t="str">
            <v>TKGE</v>
          </cell>
          <cell r="E309" t="str">
            <v>GAJAH MADA RAMBIPUJI</v>
          </cell>
          <cell r="F309" t="str">
            <v>JEMBER</v>
          </cell>
          <cell r="G309" t="str">
            <v>R</v>
          </cell>
          <cell r="H309">
            <v>42460</v>
          </cell>
          <cell r="I309" t="str">
            <v xml:space="preserve">STANDARD </v>
          </cell>
          <cell r="J309">
            <v>2004002687</v>
          </cell>
          <cell r="K309" t="str">
            <v>KHOIRUL ANAM</v>
          </cell>
          <cell r="L309" t="str">
            <v>KAM</v>
          </cell>
          <cell r="M309">
            <v>2008420165</v>
          </cell>
          <cell r="N309" t="str">
            <v>IQBAL ROJIB</v>
          </cell>
          <cell r="O309" t="str">
            <v>IRB</v>
          </cell>
          <cell r="P309" t="str">
            <v>idmTKGE@jbr.indomaret.co.id</v>
          </cell>
          <cell r="Q309" t="str">
            <v>KAB. JEMBER</v>
          </cell>
          <cell r="R309" t="str">
            <v>SDS</v>
          </cell>
        </row>
        <row r="310">
          <cell r="D310" t="str">
            <v>TNUC</v>
          </cell>
          <cell r="E310" t="str">
            <v>KASIYAN - JEMBER</v>
          </cell>
          <cell r="F310" t="str">
            <v>JEMBER</v>
          </cell>
          <cell r="G310" t="str">
            <v>R</v>
          </cell>
          <cell r="H310">
            <v>41373</v>
          </cell>
          <cell r="I310" t="str">
            <v>STANDARD NEW</v>
          </cell>
          <cell r="J310">
            <v>2004002687</v>
          </cell>
          <cell r="K310" t="str">
            <v>KHOIRUL ANAM</v>
          </cell>
          <cell r="L310" t="str">
            <v>KAM</v>
          </cell>
          <cell r="M310">
            <v>2008420165</v>
          </cell>
          <cell r="N310" t="str">
            <v>IQBAL ROJIB</v>
          </cell>
          <cell r="O310" t="str">
            <v>IRB</v>
          </cell>
          <cell r="P310" t="str">
            <v>idmTNUC@jbr.indomaret.co.id</v>
          </cell>
          <cell r="Q310" t="str">
            <v>KAB. JEMBER</v>
          </cell>
          <cell r="R310" t="str">
            <v>SDN</v>
          </cell>
        </row>
        <row r="311">
          <cell r="D311" t="str">
            <v>TUEG</v>
          </cell>
          <cell r="E311" t="str">
            <v>STA RAMBIPUJI</v>
          </cell>
          <cell r="F311" t="str">
            <v>JEMBER</v>
          </cell>
          <cell r="G311" t="str">
            <v>R</v>
          </cell>
          <cell r="H311">
            <v>42361</v>
          </cell>
          <cell r="I311" t="str">
            <v>STANDARD NEW</v>
          </cell>
          <cell r="J311">
            <v>2004002687</v>
          </cell>
          <cell r="K311" t="str">
            <v>KHOIRUL ANAM</v>
          </cell>
          <cell r="L311" t="str">
            <v>KAM</v>
          </cell>
          <cell r="M311">
            <v>2008420165</v>
          </cell>
          <cell r="N311" t="str">
            <v>IQBAL ROJIB</v>
          </cell>
          <cell r="O311" t="str">
            <v>IRB</v>
          </cell>
          <cell r="P311" t="str">
            <v>idmTUEG@jbr.indomaret.co.id</v>
          </cell>
          <cell r="Q311" t="str">
            <v>KAB. JEMBER</v>
          </cell>
          <cell r="R311" t="str">
            <v>SDN</v>
          </cell>
        </row>
        <row r="312">
          <cell r="D312" t="str">
            <v>TUL7</v>
          </cell>
          <cell r="E312" t="str">
            <v>RAYA BALUNG 97</v>
          </cell>
          <cell r="F312" t="str">
            <v>JEMBER</v>
          </cell>
          <cell r="G312" t="str">
            <v>R</v>
          </cell>
          <cell r="H312">
            <v>41388</v>
          </cell>
          <cell r="I312" t="str">
            <v xml:space="preserve">STANDARD </v>
          </cell>
          <cell r="J312">
            <v>2004002687</v>
          </cell>
          <cell r="K312" t="str">
            <v>KHOIRUL ANAM</v>
          </cell>
          <cell r="L312" t="str">
            <v>KAM</v>
          </cell>
          <cell r="M312">
            <v>2008420165</v>
          </cell>
          <cell r="N312" t="str">
            <v>IQBAL ROJIB</v>
          </cell>
          <cell r="O312" t="str">
            <v>IRB</v>
          </cell>
          <cell r="P312" t="str">
            <v>idmTUL7@jbr.indomaret.co.id</v>
          </cell>
          <cell r="Q312" t="str">
            <v>KAB. JEMBER</v>
          </cell>
          <cell r="R312" t="str">
            <v>SDS</v>
          </cell>
        </row>
        <row r="313">
          <cell r="D313" t="str">
            <v>TWEU</v>
          </cell>
          <cell r="E313" t="str">
            <v>BANGSALSARI - JEMBER</v>
          </cell>
          <cell r="F313" t="str">
            <v>JEMBER</v>
          </cell>
          <cell r="G313" t="str">
            <v>R</v>
          </cell>
          <cell r="H313">
            <v>43191</v>
          </cell>
          <cell r="I313" t="str">
            <v xml:space="preserve">STANDARD </v>
          </cell>
          <cell r="J313">
            <v>2004002687</v>
          </cell>
          <cell r="K313" t="str">
            <v>KHOIRUL ANAM</v>
          </cell>
          <cell r="L313" t="str">
            <v>KAM</v>
          </cell>
          <cell r="M313">
            <v>2008420165</v>
          </cell>
          <cell r="N313" t="str">
            <v>IQBAL ROJIB</v>
          </cell>
          <cell r="O313" t="str">
            <v>IRB</v>
          </cell>
          <cell r="P313" t="str">
            <v>idmTWEU@jbr.indomaret.co.id</v>
          </cell>
          <cell r="Q313" t="str">
            <v>KAB. JEMBER</v>
          </cell>
          <cell r="R313" t="str">
            <v>SDS</v>
          </cell>
        </row>
        <row r="314">
          <cell r="D314" t="str">
            <v>TWUR</v>
          </cell>
          <cell r="E314" t="str">
            <v>SUKOREJO BANGSALSARI</v>
          </cell>
          <cell r="F314" t="str">
            <v>JEMBER</v>
          </cell>
          <cell r="G314" t="str">
            <v>R</v>
          </cell>
          <cell r="H314">
            <v>42338</v>
          </cell>
          <cell r="I314" t="str">
            <v xml:space="preserve">STANDARD </v>
          </cell>
          <cell r="J314">
            <v>2004002687</v>
          </cell>
          <cell r="K314" t="str">
            <v>KHOIRUL ANAM</v>
          </cell>
          <cell r="L314" t="str">
            <v>KAM</v>
          </cell>
          <cell r="M314">
            <v>2008420165</v>
          </cell>
          <cell r="N314" t="str">
            <v>IQBAL ROJIB</v>
          </cell>
          <cell r="O314" t="str">
            <v>IRB</v>
          </cell>
          <cell r="P314" t="str">
            <v>idmTWUR@jbr.indomaret.co.id</v>
          </cell>
          <cell r="Q314" t="str">
            <v>KAB. JEMBER</v>
          </cell>
          <cell r="R314" t="str">
            <v>SDS</v>
          </cell>
        </row>
        <row r="315">
          <cell r="D315" t="str">
            <v>F05D</v>
          </cell>
          <cell r="E315" t="str">
            <v>SUMBERBARU</v>
          </cell>
          <cell r="F315" t="str">
            <v>JEMBER</v>
          </cell>
          <cell r="G315" t="str">
            <v>F</v>
          </cell>
          <cell r="H315">
            <v>44197</v>
          </cell>
          <cell r="I315" t="str">
            <v xml:space="preserve">STANDARD </v>
          </cell>
          <cell r="J315">
            <v>2004002687</v>
          </cell>
          <cell r="K315" t="str">
            <v>KHOIRUL ANAM</v>
          </cell>
          <cell r="L315" t="str">
            <v>KAM</v>
          </cell>
          <cell r="M315">
            <v>2012034484</v>
          </cell>
          <cell r="N315" t="str">
            <v>MOCHAMAD ANDI</v>
          </cell>
          <cell r="O315" t="str">
            <v>MAI</v>
          </cell>
          <cell r="P315" t="str">
            <v>idF05D@jbr.indomaret.co.id</v>
          </cell>
          <cell r="Q315" t="str">
            <v>KAB. JEMBER</v>
          </cell>
          <cell r="R315" t="str">
            <v>SDS</v>
          </cell>
        </row>
        <row r="316">
          <cell r="D316" t="str">
            <v>F07C</v>
          </cell>
          <cell r="E316" t="str">
            <v>TANGGUL 2</v>
          </cell>
          <cell r="F316" t="str">
            <v>JEMBER</v>
          </cell>
          <cell r="G316" t="str">
            <v>F</v>
          </cell>
          <cell r="H316">
            <v>45277</v>
          </cell>
          <cell r="I316" t="str">
            <v xml:space="preserve">STANDARD </v>
          </cell>
          <cell r="J316">
            <v>2004002687</v>
          </cell>
          <cell r="K316" t="str">
            <v>KHOIRUL ANAM</v>
          </cell>
          <cell r="L316" t="str">
            <v>KAM</v>
          </cell>
          <cell r="M316">
            <v>2012034484</v>
          </cell>
          <cell r="N316" t="str">
            <v>MOCHAMAD ANDI</v>
          </cell>
          <cell r="O316" t="str">
            <v>MAI</v>
          </cell>
          <cell r="P316" t="str">
            <v>idF07C@jbr.indomaret.co.id</v>
          </cell>
          <cell r="Q316" t="str">
            <v>KAB. JEMBER</v>
          </cell>
          <cell r="R316" t="str">
            <v>SDS</v>
          </cell>
        </row>
        <row r="317">
          <cell r="D317" t="str">
            <v>F430</v>
          </cell>
          <cell r="E317" t="str">
            <v>TANGGUL 1</v>
          </cell>
          <cell r="F317" t="str">
            <v>JEMBER</v>
          </cell>
          <cell r="G317" t="str">
            <v>F</v>
          </cell>
          <cell r="H317">
            <v>45069</v>
          </cell>
          <cell r="I317" t="str">
            <v xml:space="preserve">STANDARD </v>
          </cell>
          <cell r="J317">
            <v>2004002687</v>
          </cell>
          <cell r="K317" t="str">
            <v>KHOIRUL ANAM</v>
          </cell>
          <cell r="L317" t="str">
            <v>KAM</v>
          </cell>
          <cell r="M317">
            <v>2012034484</v>
          </cell>
          <cell r="N317" t="str">
            <v>MOCHAMAD ANDI</v>
          </cell>
          <cell r="O317" t="str">
            <v>MAI</v>
          </cell>
          <cell r="P317" t="str">
            <v>idF430@jbr.indomaret.co.id</v>
          </cell>
          <cell r="Q317" t="str">
            <v>KAB. JEMBER</v>
          </cell>
          <cell r="R317" t="str">
            <v>SDS</v>
          </cell>
        </row>
        <row r="318">
          <cell r="D318" t="str">
            <v>TA55</v>
          </cell>
          <cell r="E318" t="str">
            <v>GAMBIRONO</v>
          </cell>
          <cell r="F318" t="str">
            <v>JEMBER</v>
          </cell>
          <cell r="G318" t="str">
            <v>R</v>
          </cell>
          <cell r="H318">
            <v>39261</v>
          </cell>
          <cell r="I318" t="str">
            <v xml:space="preserve">STANDARD </v>
          </cell>
          <cell r="J318">
            <v>2004002687</v>
          </cell>
          <cell r="K318" t="str">
            <v>KHOIRUL ANAM</v>
          </cell>
          <cell r="L318" t="str">
            <v>KAM</v>
          </cell>
          <cell r="M318">
            <v>2012034484</v>
          </cell>
          <cell r="N318" t="str">
            <v>MOCHAMAD ANDI</v>
          </cell>
          <cell r="O318" t="str">
            <v>MAI</v>
          </cell>
          <cell r="P318" t="str">
            <v>idmTA55@jbr.indomaret.co.id</v>
          </cell>
          <cell r="Q318" t="str">
            <v>KAB. JEMBER</v>
          </cell>
          <cell r="R318" t="str">
            <v>SDS</v>
          </cell>
        </row>
        <row r="319">
          <cell r="D319" t="str">
            <v>TEHC</v>
          </cell>
          <cell r="E319" t="str">
            <v>TANGGUL WETAN</v>
          </cell>
          <cell r="F319" t="str">
            <v>JEMBER</v>
          </cell>
          <cell r="G319" t="str">
            <v>R</v>
          </cell>
          <cell r="H319">
            <v>42017</v>
          </cell>
          <cell r="I319" t="str">
            <v>STANDARD NEW</v>
          </cell>
          <cell r="J319">
            <v>2004002687</v>
          </cell>
          <cell r="K319" t="str">
            <v>KHOIRUL ANAM</v>
          </cell>
          <cell r="L319" t="str">
            <v>KAM</v>
          </cell>
          <cell r="M319">
            <v>2012034484</v>
          </cell>
          <cell r="N319" t="str">
            <v>MOCHAMAD ANDI</v>
          </cell>
          <cell r="O319" t="str">
            <v>MAI</v>
          </cell>
          <cell r="P319" t="str">
            <v>idmTEHC@jbr.indomaret.co.id</v>
          </cell>
          <cell r="Q319" t="str">
            <v>KAB. JEMBER</v>
          </cell>
          <cell r="R319" t="str">
            <v>SDN</v>
          </cell>
        </row>
        <row r="320">
          <cell r="D320" t="str">
            <v>THPM</v>
          </cell>
          <cell r="E320" t="str">
            <v>GAMBIRONO 122 - JEMBER</v>
          </cell>
          <cell r="F320" t="str">
            <v>JEMBER</v>
          </cell>
          <cell r="G320" t="str">
            <v>R</v>
          </cell>
          <cell r="H320">
            <v>41637</v>
          </cell>
          <cell r="I320" t="str">
            <v xml:space="preserve">STANDARD </v>
          </cell>
          <cell r="J320">
            <v>2004002687</v>
          </cell>
          <cell r="K320" t="str">
            <v>KHOIRUL ANAM</v>
          </cell>
          <cell r="L320" t="str">
            <v>KAM</v>
          </cell>
          <cell r="M320">
            <v>2012034484</v>
          </cell>
          <cell r="N320" t="str">
            <v>MOCHAMAD ANDI</v>
          </cell>
          <cell r="O320" t="str">
            <v>MAI</v>
          </cell>
          <cell r="P320" t="str">
            <v>idmTHPM@jbr.indomaret.co.id</v>
          </cell>
          <cell r="Q320" t="str">
            <v>KAB. JEMBER</v>
          </cell>
          <cell r="R320" t="str">
            <v>SDS</v>
          </cell>
        </row>
        <row r="321">
          <cell r="D321" t="str">
            <v>TL1C</v>
          </cell>
          <cell r="E321" t="str">
            <v>KAMARDIKAN</v>
          </cell>
          <cell r="F321" t="str">
            <v>JEMBER</v>
          </cell>
          <cell r="G321" t="str">
            <v>R</v>
          </cell>
          <cell r="H321">
            <v>40208</v>
          </cell>
          <cell r="I321" t="str">
            <v xml:space="preserve">STANDARD </v>
          </cell>
          <cell r="J321">
            <v>2004002687</v>
          </cell>
          <cell r="K321" t="str">
            <v>KHOIRUL ANAM</v>
          </cell>
          <cell r="L321" t="str">
            <v>KAM</v>
          </cell>
          <cell r="M321">
            <v>2012034484</v>
          </cell>
          <cell r="N321" t="str">
            <v>MOCHAMAD ANDI</v>
          </cell>
          <cell r="O321" t="str">
            <v>MAI</v>
          </cell>
          <cell r="P321" t="str">
            <v>idmTL1C@jbr.indomaret.co.id</v>
          </cell>
          <cell r="Q321" t="str">
            <v>KAB. JEMBER</v>
          </cell>
          <cell r="R321" t="str">
            <v>SDS</v>
          </cell>
        </row>
        <row r="322">
          <cell r="D322" t="str">
            <v>TNBN</v>
          </cell>
          <cell r="E322" t="str">
            <v>TANGGUL KULON - JEMBER</v>
          </cell>
          <cell r="F322" t="str">
            <v>JEMBER</v>
          </cell>
          <cell r="G322" t="str">
            <v>R</v>
          </cell>
          <cell r="H322">
            <v>43525</v>
          </cell>
          <cell r="I322" t="str">
            <v xml:space="preserve">STANDARD </v>
          </cell>
          <cell r="J322">
            <v>2004002687</v>
          </cell>
          <cell r="K322" t="str">
            <v>KHOIRUL ANAM</v>
          </cell>
          <cell r="L322" t="str">
            <v>KAM</v>
          </cell>
          <cell r="M322">
            <v>2012034484</v>
          </cell>
          <cell r="N322" t="str">
            <v>MOCHAMAD ANDI</v>
          </cell>
          <cell r="O322" t="str">
            <v>MAI</v>
          </cell>
          <cell r="P322" t="str">
            <v>idmTNBN@jbr.indomaret.co.id</v>
          </cell>
          <cell r="Q322" t="str">
            <v>KAB. JEMBER</v>
          </cell>
          <cell r="R322" t="str">
            <v>SDS</v>
          </cell>
        </row>
        <row r="323">
          <cell r="D323" t="str">
            <v>TNKG</v>
          </cell>
          <cell r="E323" t="str">
            <v>SEMBORO</v>
          </cell>
          <cell r="F323" t="str">
            <v>JEMBER</v>
          </cell>
          <cell r="G323" t="str">
            <v>R</v>
          </cell>
          <cell r="H323">
            <v>42736</v>
          </cell>
          <cell r="I323" t="str">
            <v xml:space="preserve">STANDARD </v>
          </cell>
          <cell r="J323">
            <v>2004002687</v>
          </cell>
          <cell r="K323" t="str">
            <v>KHOIRUL ANAM</v>
          </cell>
          <cell r="L323" t="str">
            <v>KAM</v>
          </cell>
          <cell r="M323">
            <v>2012034484</v>
          </cell>
          <cell r="N323" t="str">
            <v>MOCHAMAD ANDI</v>
          </cell>
          <cell r="O323" t="str">
            <v>MAI</v>
          </cell>
          <cell r="P323" t="str">
            <v>idmTNKG@jbr.indomaret.co.id</v>
          </cell>
          <cell r="Q323" t="str">
            <v>KAB. JEMBER</v>
          </cell>
          <cell r="R323" t="str">
            <v>SDS</v>
          </cell>
        </row>
        <row r="324">
          <cell r="D324" t="str">
            <v>TPDM</v>
          </cell>
          <cell r="E324" t="str">
            <v>GUNUNGSARI</v>
          </cell>
          <cell r="F324" t="str">
            <v>JEMBER</v>
          </cell>
          <cell r="G324" t="str">
            <v>R</v>
          </cell>
          <cell r="H324">
            <v>42216</v>
          </cell>
          <cell r="I324" t="str">
            <v xml:space="preserve">STANDARD </v>
          </cell>
          <cell r="J324">
            <v>2004002687</v>
          </cell>
          <cell r="K324" t="str">
            <v>KHOIRUL ANAM</v>
          </cell>
          <cell r="L324" t="str">
            <v>KAM</v>
          </cell>
          <cell r="M324">
            <v>2012034484</v>
          </cell>
          <cell r="N324" t="str">
            <v>MOCHAMAD ANDI</v>
          </cell>
          <cell r="O324" t="str">
            <v>MAI</v>
          </cell>
          <cell r="P324" t="str">
            <v>idmTPDM@jbr.indomaret.co.id</v>
          </cell>
          <cell r="Q324" t="str">
            <v>KAB. JEMBER</v>
          </cell>
          <cell r="R324" t="str">
            <v>SDS</v>
          </cell>
        </row>
        <row r="325">
          <cell r="D325" t="str">
            <v>TQKK</v>
          </cell>
          <cell r="E325" t="str">
            <v>RAYA SUMBER BARU - JEMBER</v>
          </cell>
          <cell r="F325" t="str">
            <v>JEMBER</v>
          </cell>
          <cell r="G325" t="str">
            <v>R</v>
          </cell>
          <cell r="H325">
            <v>41055</v>
          </cell>
          <cell r="I325" t="str">
            <v xml:space="preserve">STANDARD </v>
          </cell>
          <cell r="J325">
            <v>2004002687</v>
          </cell>
          <cell r="K325" t="str">
            <v>KHOIRUL ANAM</v>
          </cell>
          <cell r="L325" t="str">
            <v>KAM</v>
          </cell>
          <cell r="M325">
            <v>2012034484</v>
          </cell>
          <cell r="N325" t="str">
            <v>MOCHAMAD ANDI</v>
          </cell>
          <cell r="O325" t="str">
            <v>MAI</v>
          </cell>
          <cell r="P325" t="str">
            <v>idmTQKK@jbr.indomaret.co.id</v>
          </cell>
          <cell r="Q325" t="str">
            <v>KAB. JEMBER</v>
          </cell>
          <cell r="R325" t="str">
            <v>SDS</v>
          </cell>
        </row>
        <row r="326">
          <cell r="D326" t="str">
            <v>TUHT</v>
          </cell>
          <cell r="E326" t="str">
            <v>TANGGUL JEMBER</v>
          </cell>
          <cell r="F326" t="str">
            <v>JEMBER</v>
          </cell>
          <cell r="G326" t="str">
            <v>R</v>
          </cell>
          <cell r="H326">
            <v>42338</v>
          </cell>
          <cell r="I326" t="str">
            <v>STANDARD NEW</v>
          </cell>
          <cell r="J326">
            <v>2004002687</v>
          </cell>
          <cell r="K326" t="str">
            <v>KHOIRUL ANAM</v>
          </cell>
          <cell r="L326" t="str">
            <v>KAM</v>
          </cell>
          <cell r="M326">
            <v>2012034484</v>
          </cell>
          <cell r="N326" t="str">
            <v>MOCHAMAD ANDI</v>
          </cell>
          <cell r="O326" t="str">
            <v>MAI</v>
          </cell>
          <cell r="P326" t="str">
            <v>idmTUHT@jbr.indomaret.co.id</v>
          </cell>
          <cell r="Q326" t="str">
            <v>KAB. JEMBER</v>
          </cell>
          <cell r="R326" t="str">
            <v>SDN</v>
          </cell>
        </row>
        <row r="327">
          <cell r="D327" t="str">
            <v>TUWM</v>
          </cell>
          <cell r="E327" t="str">
            <v>PONDOK DALEM</v>
          </cell>
          <cell r="F327" t="str">
            <v>JEMBER</v>
          </cell>
          <cell r="G327" t="str">
            <v>R</v>
          </cell>
          <cell r="H327">
            <v>42397</v>
          </cell>
          <cell r="I327" t="str">
            <v>STANDARD NEW</v>
          </cell>
          <cell r="J327">
            <v>2004002687</v>
          </cell>
          <cell r="K327" t="str">
            <v>KHOIRUL ANAM</v>
          </cell>
          <cell r="L327" t="str">
            <v>KAM</v>
          </cell>
          <cell r="M327">
            <v>2012034484</v>
          </cell>
          <cell r="N327" t="str">
            <v>MOCHAMAD ANDI</v>
          </cell>
          <cell r="O327" t="str">
            <v>MAI</v>
          </cell>
          <cell r="P327" t="str">
            <v>idmTUWM@jbr.indomaret.co.id</v>
          </cell>
          <cell r="Q327" t="str">
            <v>KAB. JEMBER</v>
          </cell>
          <cell r="R327" t="str">
            <v>SDN</v>
          </cell>
        </row>
        <row r="328">
          <cell r="D328" t="str">
            <v>FAEG</v>
          </cell>
          <cell r="E328" t="str">
            <v>DIPONEGORO-BONDOWOSO</v>
          </cell>
          <cell r="F328" t="str">
            <v>JEMBER</v>
          </cell>
          <cell r="G328" t="str">
            <v>F</v>
          </cell>
          <cell r="H328">
            <v>44562</v>
          </cell>
          <cell r="I328" t="str">
            <v xml:space="preserve">STANDARD </v>
          </cell>
          <cell r="J328">
            <v>2015562210</v>
          </cell>
          <cell r="K328" t="str">
            <v>SALOMO ARIEF</v>
          </cell>
          <cell r="L328" t="str">
            <v>SAL</v>
          </cell>
          <cell r="M328">
            <v>2004002890</v>
          </cell>
          <cell r="N328" t="str">
            <v>AHMAD FAUZI</v>
          </cell>
          <cell r="O328" t="str">
            <v>AFZ</v>
          </cell>
          <cell r="P328" t="str">
            <v>idFAEG@jbr.indomaret.co.id</v>
          </cell>
          <cell r="Q328" t="str">
            <v>KAB. BONDOWOSO</v>
          </cell>
          <cell r="R328" t="str">
            <v>SDS</v>
          </cell>
        </row>
        <row r="329">
          <cell r="D329" t="str">
            <v>FDFU</v>
          </cell>
          <cell r="E329" t="str">
            <v>SEKAR PUTIH BONDOWOSO</v>
          </cell>
          <cell r="F329" t="str">
            <v>JEMBER</v>
          </cell>
          <cell r="G329" t="str">
            <v>F</v>
          </cell>
          <cell r="H329">
            <v>44866</v>
          </cell>
          <cell r="I329" t="str">
            <v xml:space="preserve">STANDARD </v>
          </cell>
          <cell r="J329">
            <v>2015562210</v>
          </cell>
          <cell r="K329" t="str">
            <v>SALOMO ARIEF</v>
          </cell>
          <cell r="L329" t="str">
            <v>SAL</v>
          </cell>
          <cell r="M329">
            <v>2004002890</v>
          </cell>
          <cell r="N329" t="str">
            <v>AHMAD FAUZI</v>
          </cell>
          <cell r="O329" t="str">
            <v>AFZ</v>
          </cell>
          <cell r="P329" t="str">
            <v>idFDFU@jbr.indomaret.co.id</v>
          </cell>
          <cell r="Q329" t="str">
            <v>KAB. BONDOWOSO</v>
          </cell>
          <cell r="R329" t="str">
            <v>SDS</v>
          </cell>
        </row>
        <row r="330">
          <cell r="D330" t="str">
            <v>FOAA</v>
          </cell>
          <cell r="E330" t="str">
            <v>RAYA HASYIM ASHARI - BDO</v>
          </cell>
          <cell r="F330" t="str">
            <v>JEMBER</v>
          </cell>
          <cell r="G330" t="str">
            <v>F</v>
          </cell>
          <cell r="H330">
            <v>45809</v>
          </cell>
          <cell r="I330" t="str">
            <v xml:space="preserve">STANDARD </v>
          </cell>
          <cell r="J330">
            <v>2015562210</v>
          </cell>
          <cell r="K330" t="str">
            <v>SALOMO ARIEF</v>
          </cell>
          <cell r="L330" t="str">
            <v>SAL</v>
          </cell>
          <cell r="M330">
            <v>2004002890</v>
          </cell>
          <cell r="N330" t="str">
            <v>AHMAD FAUZI</v>
          </cell>
          <cell r="O330" t="str">
            <v>AFZ</v>
          </cell>
          <cell r="P330" t="str">
            <v>idFOAA@jbr.indomaret.co.id</v>
          </cell>
          <cell r="Q330" t="str">
            <v>KAB. BONDOWOSO</v>
          </cell>
          <cell r="R330" t="str">
            <v>SDS</v>
          </cell>
        </row>
        <row r="331">
          <cell r="D331" t="str">
            <v>FOOD</v>
          </cell>
          <cell r="E331" t="str">
            <v>WRINGIN BDO</v>
          </cell>
          <cell r="F331" t="str">
            <v>JEMBER</v>
          </cell>
          <cell r="G331" t="str">
            <v>F</v>
          </cell>
          <cell r="H331">
            <v>44896</v>
          </cell>
          <cell r="I331" t="str">
            <v xml:space="preserve">STANDARD </v>
          </cell>
          <cell r="J331">
            <v>2015562210</v>
          </cell>
          <cell r="K331" t="str">
            <v>SALOMO ARIEF</v>
          </cell>
          <cell r="L331" t="str">
            <v>SAL</v>
          </cell>
          <cell r="M331">
            <v>2004002890</v>
          </cell>
          <cell r="N331" t="str">
            <v>AHMAD FAUZI</v>
          </cell>
          <cell r="O331" t="str">
            <v>AFZ</v>
          </cell>
          <cell r="P331" t="str">
            <v>idFOOD@jbr.indomaret.co.id</v>
          </cell>
          <cell r="Q331" t="str">
            <v>KAB. BONDOWOSO</v>
          </cell>
          <cell r="R331" t="str">
            <v>SDS</v>
          </cell>
        </row>
        <row r="332">
          <cell r="D332" t="str">
            <v>FVDI</v>
          </cell>
          <cell r="E332" t="str">
            <v>DIPONEGORO KM 8</v>
          </cell>
          <cell r="F332" t="str">
            <v>JEMBER</v>
          </cell>
          <cell r="G332" t="str">
            <v>F</v>
          </cell>
          <cell r="H332">
            <v>45124</v>
          </cell>
          <cell r="I332" t="str">
            <v xml:space="preserve">STANDARD </v>
          </cell>
          <cell r="J332">
            <v>2015562210</v>
          </cell>
          <cell r="K332" t="str">
            <v>SALOMO ARIEF</v>
          </cell>
          <cell r="L332" t="str">
            <v>SAL</v>
          </cell>
          <cell r="M332">
            <v>2004002890</v>
          </cell>
          <cell r="N332" t="str">
            <v>AHMAD FAUZI</v>
          </cell>
          <cell r="O332" t="str">
            <v>AFZ</v>
          </cell>
          <cell r="P332" t="str">
            <v>idFVDI@jbr.indomaret.co.id</v>
          </cell>
          <cell r="Q332" t="str">
            <v>KAB. BONDOWOSO</v>
          </cell>
          <cell r="R332" t="str">
            <v>SDS</v>
          </cell>
        </row>
        <row r="333">
          <cell r="D333" t="str">
            <v>T0EV</v>
          </cell>
          <cell r="E333" t="str">
            <v>PB SUDIRMAN 13</v>
          </cell>
          <cell r="F333" t="str">
            <v>JEMBER</v>
          </cell>
          <cell r="G333" t="str">
            <v>R</v>
          </cell>
          <cell r="H333">
            <v>44408</v>
          </cell>
          <cell r="I333" t="str">
            <v xml:space="preserve">STANDARD </v>
          </cell>
          <cell r="J333">
            <v>2015562210</v>
          </cell>
          <cell r="K333" t="str">
            <v>SALOMO ARIEF</v>
          </cell>
          <cell r="L333" t="str">
            <v>SAL</v>
          </cell>
          <cell r="M333">
            <v>2004002890</v>
          </cell>
          <cell r="N333" t="str">
            <v>AHMAD FAUZI</v>
          </cell>
          <cell r="O333" t="str">
            <v>AFZ</v>
          </cell>
          <cell r="P333" t="str">
            <v>idmT0EV@jbr.indomaret.co.id</v>
          </cell>
          <cell r="Q333" t="str">
            <v>KAB. BONDOWOSO</v>
          </cell>
          <cell r="R333" t="str">
            <v>SDS</v>
          </cell>
        </row>
        <row r="334">
          <cell r="D334" t="str">
            <v>T1UM</v>
          </cell>
          <cell r="E334" t="str">
            <v>RAYA KOPRAL MOERIN</v>
          </cell>
          <cell r="F334" t="str">
            <v>JEMBER</v>
          </cell>
          <cell r="G334" t="str">
            <v>R</v>
          </cell>
          <cell r="H334">
            <v>45978</v>
          </cell>
          <cell r="I334" t="str">
            <v xml:space="preserve">STANDARD </v>
          </cell>
          <cell r="J334">
            <v>2015562210</v>
          </cell>
          <cell r="K334" t="str">
            <v>SALOMO ARIEF</v>
          </cell>
          <cell r="L334" t="str">
            <v>SAL</v>
          </cell>
          <cell r="M334">
            <v>2004002890</v>
          </cell>
          <cell r="N334" t="str">
            <v>AHMAD FAUZI</v>
          </cell>
          <cell r="O334" t="str">
            <v>AFZ</v>
          </cell>
          <cell r="P334" t="str">
            <v>idmT1UM@jbr.indomaret.co.id</v>
          </cell>
          <cell r="Q334" t="str">
            <v>KAB. BONDOWOSO</v>
          </cell>
          <cell r="R334" t="str">
            <v>SDS</v>
          </cell>
        </row>
        <row r="335">
          <cell r="D335" t="str">
            <v>T7CV</v>
          </cell>
          <cell r="E335" t="str">
            <v>DIPONEGORO KOTA KULON</v>
          </cell>
          <cell r="F335" t="str">
            <v>JEMBER</v>
          </cell>
          <cell r="G335" t="str">
            <v>R</v>
          </cell>
          <cell r="H335">
            <v>44377</v>
          </cell>
          <cell r="I335" t="str">
            <v xml:space="preserve">STANDARD </v>
          </cell>
          <cell r="J335">
            <v>2015562210</v>
          </cell>
          <cell r="K335" t="str">
            <v>SALOMO ARIEF</v>
          </cell>
          <cell r="L335" t="str">
            <v>SAL</v>
          </cell>
          <cell r="M335">
            <v>2004002890</v>
          </cell>
          <cell r="N335" t="str">
            <v>AHMAD FAUZI</v>
          </cell>
          <cell r="O335" t="str">
            <v>AFZ</v>
          </cell>
          <cell r="P335" t="str">
            <v>idmT7CV@jbr.indomaret.co.id</v>
          </cell>
          <cell r="Q335" t="str">
            <v>KAB. BONDOWOSO</v>
          </cell>
          <cell r="R335" t="str">
            <v>SDS</v>
          </cell>
        </row>
        <row r="336">
          <cell r="D336" t="str">
            <v>TKFW</v>
          </cell>
          <cell r="E336" t="str">
            <v>A. YANI 80</v>
          </cell>
          <cell r="F336" t="str">
            <v>JEMBER</v>
          </cell>
          <cell r="G336" t="str">
            <v>R</v>
          </cell>
          <cell r="H336">
            <v>43005</v>
          </cell>
          <cell r="I336" t="str">
            <v xml:space="preserve">STANDARD </v>
          </cell>
          <cell r="J336">
            <v>2015562210</v>
          </cell>
          <cell r="K336" t="str">
            <v>SALOMO ARIEF</v>
          </cell>
          <cell r="L336" t="str">
            <v>SAL</v>
          </cell>
          <cell r="M336">
            <v>2004002890</v>
          </cell>
          <cell r="N336" t="str">
            <v>AHMAD FAUZI</v>
          </cell>
          <cell r="O336" t="str">
            <v>AFZ</v>
          </cell>
          <cell r="P336" t="str">
            <v>idmTKFW@jbr.indomaret.co.id</v>
          </cell>
          <cell r="Q336" t="str">
            <v>KAB. BONDOWOSO</v>
          </cell>
          <cell r="R336" t="str">
            <v>SDS</v>
          </cell>
        </row>
        <row r="337">
          <cell r="D337" t="str">
            <v>TOYZ</v>
          </cell>
          <cell r="E337" t="str">
            <v>HASYIM ASHARI</v>
          </cell>
          <cell r="F337" t="str">
            <v>JEMBER</v>
          </cell>
          <cell r="G337" t="str">
            <v>R</v>
          </cell>
          <cell r="H337">
            <v>41791</v>
          </cell>
          <cell r="I337" t="str">
            <v xml:space="preserve">STANDARD </v>
          </cell>
          <cell r="J337">
            <v>2015562210</v>
          </cell>
          <cell r="K337" t="str">
            <v>SALOMO ARIEF</v>
          </cell>
          <cell r="L337" t="str">
            <v>SAL</v>
          </cell>
          <cell r="M337">
            <v>2004002890</v>
          </cell>
          <cell r="N337" t="str">
            <v>AHMAD FAUZI</v>
          </cell>
          <cell r="O337" t="str">
            <v>AFZ</v>
          </cell>
          <cell r="P337" t="str">
            <v>idmTOYZ@jbr.indomaret.co.id</v>
          </cell>
          <cell r="Q337" t="str">
            <v>KAB. BONDOWOSO</v>
          </cell>
          <cell r="R337" t="str">
            <v>SDS</v>
          </cell>
        </row>
        <row r="338">
          <cell r="D338" t="str">
            <v>TRDT</v>
          </cell>
          <cell r="E338" t="str">
            <v>SANTAWI</v>
          </cell>
          <cell r="F338" t="str">
            <v>JEMBER</v>
          </cell>
          <cell r="G338" t="str">
            <v>R</v>
          </cell>
          <cell r="H338">
            <v>42978</v>
          </cell>
          <cell r="I338" t="str">
            <v xml:space="preserve">STANDARD </v>
          </cell>
          <cell r="J338">
            <v>2015562210</v>
          </cell>
          <cell r="K338" t="str">
            <v>SALOMO ARIEF</v>
          </cell>
          <cell r="L338" t="str">
            <v>SAL</v>
          </cell>
          <cell r="M338">
            <v>2004002890</v>
          </cell>
          <cell r="N338" t="str">
            <v>AHMAD FAUZI</v>
          </cell>
          <cell r="O338" t="str">
            <v>AFZ</v>
          </cell>
          <cell r="P338" t="str">
            <v>idmTRDT@jbr.indomaret.co.id</v>
          </cell>
          <cell r="Q338" t="str">
            <v>KAB. BONDOWOSO</v>
          </cell>
          <cell r="R338" t="str">
            <v>SDS</v>
          </cell>
        </row>
        <row r="339">
          <cell r="D339" t="str">
            <v>TTC0</v>
          </cell>
          <cell r="E339" t="str">
            <v>HOS COROAMINOTO</v>
          </cell>
          <cell r="F339" t="str">
            <v>JEMBER</v>
          </cell>
          <cell r="G339" t="str">
            <v>R</v>
          </cell>
          <cell r="H339">
            <v>46021</v>
          </cell>
          <cell r="I339" t="str">
            <v xml:space="preserve">STANDARD </v>
          </cell>
          <cell r="J339">
            <v>2015562210</v>
          </cell>
          <cell r="K339" t="str">
            <v>SALOMO ARIEF</v>
          </cell>
          <cell r="L339" t="str">
            <v>SAL</v>
          </cell>
          <cell r="M339">
            <v>2004002890</v>
          </cell>
          <cell r="N339" t="str">
            <v>AHMAD FAUZI</v>
          </cell>
          <cell r="O339" t="str">
            <v>AFZ</v>
          </cell>
          <cell r="P339" t="str">
            <v>idmTTC0@jbr.indomaret.co.id</v>
          </cell>
          <cell r="Q339" t="str">
            <v>KAB. BONDOWOSO</v>
          </cell>
          <cell r="R339" t="str">
            <v>SDS</v>
          </cell>
        </row>
        <row r="340">
          <cell r="D340" t="str">
            <v>TYSO</v>
          </cell>
          <cell r="E340" t="str">
            <v>HOS COKROAMINOTO KADEMANG</v>
          </cell>
          <cell r="F340" t="str">
            <v>JEMBER</v>
          </cell>
          <cell r="G340" t="str">
            <v>R</v>
          </cell>
          <cell r="H340">
            <v>42978</v>
          </cell>
          <cell r="I340" t="str">
            <v xml:space="preserve">STANDARD </v>
          </cell>
          <cell r="J340">
            <v>2015562210</v>
          </cell>
          <cell r="K340" t="str">
            <v>SALOMO ARIEF</v>
          </cell>
          <cell r="L340" t="str">
            <v>SAL</v>
          </cell>
          <cell r="M340">
            <v>2004002890</v>
          </cell>
          <cell r="N340" t="str">
            <v>AHMAD FAUZI</v>
          </cell>
          <cell r="O340" t="str">
            <v>AFZ</v>
          </cell>
          <cell r="P340" t="str">
            <v>idmTYSO@jbr.indomaret.co.id</v>
          </cell>
          <cell r="Q340" t="str">
            <v>KAB. BONDOWOSO</v>
          </cell>
          <cell r="R340" t="str">
            <v>SDS</v>
          </cell>
        </row>
        <row r="341">
          <cell r="D341" t="str">
            <v>TYYI</v>
          </cell>
          <cell r="E341" t="str">
            <v>TEGAL AMPEL</v>
          </cell>
          <cell r="F341" t="str">
            <v>JEMBER</v>
          </cell>
          <cell r="G341" t="str">
            <v>R</v>
          </cell>
          <cell r="H341">
            <v>42998</v>
          </cell>
          <cell r="I341" t="str">
            <v xml:space="preserve">STANDARD </v>
          </cell>
          <cell r="J341">
            <v>2015562210</v>
          </cell>
          <cell r="K341" t="str">
            <v>SALOMO ARIEF</v>
          </cell>
          <cell r="L341" t="str">
            <v>SAL</v>
          </cell>
          <cell r="M341">
            <v>2004002890</v>
          </cell>
          <cell r="N341" t="str">
            <v>AHMAD FAUZI</v>
          </cell>
          <cell r="O341" t="str">
            <v>AFZ</v>
          </cell>
          <cell r="P341" t="str">
            <v>idmTYYI@jbr.indomaret.co.id</v>
          </cell>
          <cell r="Q341" t="str">
            <v>KAB. BONDOWOSO</v>
          </cell>
          <cell r="R341" t="str">
            <v>SDS</v>
          </cell>
        </row>
        <row r="342">
          <cell r="D342" t="str">
            <v>F31M</v>
          </cell>
          <cell r="E342" t="str">
            <v>GRUJUGAN - BONDOWOSO</v>
          </cell>
          <cell r="F342" t="str">
            <v>JEMBER</v>
          </cell>
          <cell r="G342" t="str">
            <v>F</v>
          </cell>
          <cell r="H342">
            <v>44743</v>
          </cell>
          <cell r="I342" t="str">
            <v xml:space="preserve">STANDARD </v>
          </cell>
          <cell r="J342">
            <v>2015562210</v>
          </cell>
          <cell r="K342" t="str">
            <v>SALOMO ARIEF</v>
          </cell>
          <cell r="L342" t="str">
            <v>SAL</v>
          </cell>
          <cell r="M342">
            <v>2007003858</v>
          </cell>
          <cell r="N342" t="str">
            <v>FAHRURROZZI ANDRIANSYAH</v>
          </cell>
          <cell r="O342" t="str">
            <v>FZA</v>
          </cell>
          <cell r="P342" t="str">
            <v>idF31M@jbr.indomaret.co.id</v>
          </cell>
          <cell r="Q342" t="str">
            <v>KAB. BONDOWOSO</v>
          </cell>
          <cell r="R342" t="str">
            <v>SDS</v>
          </cell>
        </row>
        <row r="343">
          <cell r="D343" t="str">
            <v>FBVJ</v>
          </cell>
          <cell r="E343" t="str">
            <v>BUNDER</v>
          </cell>
          <cell r="F343" t="str">
            <v>JEMBER</v>
          </cell>
          <cell r="G343" t="str">
            <v>F</v>
          </cell>
          <cell r="H343">
            <v>45093</v>
          </cell>
          <cell r="I343" t="str">
            <v xml:space="preserve">STANDARD </v>
          </cell>
          <cell r="J343">
            <v>2015562210</v>
          </cell>
          <cell r="K343" t="str">
            <v>SALOMO ARIEF</v>
          </cell>
          <cell r="L343" t="str">
            <v>SAL</v>
          </cell>
          <cell r="M343">
            <v>2007003858</v>
          </cell>
          <cell r="N343" t="str">
            <v>FAHRURROZZI ANDRIANSYAH</v>
          </cell>
          <cell r="O343" t="str">
            <v>FZA</v>
          </cell>
          <cell r="P343" t="str">
            <v>idFBVJ@jbr.indomaret.co.id</v>
          </cell>
          <cell r="Q343" t="str">
            <v>KAB. BONDOWOSO</v>
          </cell>
          <cell r="R343" t="str">
            <v>SDS</v>
          </cell>
        </row>
        <row r="344">
          <cell r="D344" t="str">
            <v>FF72</v>
          </cell>
          <cell r="E344" t="str">
            <v>A.YANI -  BONDOWOSO</v>
          </cell>
          <cell r="F344" t="str">
            <v>JEMBER</v>
          </cell>
          <cell r="G344" t="str">
            <v>F</v>
          </cell>
          <cell r="H344">
            <v>45547</v>
          </cell>
          <cell r="I344" t="str">
            <v xml:space="preserve">STANDARD </v>
          </cell>
          <cell r="J344">
            <v>2015562210</v>
          </cell>
          <cell r="K344" t="str">
            <v>SALOMO ARIEF</v>
          </cell>
          <cell r="L344" t="str">
            <v>SAL</v>
          </cell>
          <cell r="M344">
            <v>2007003858</v>
          </cell>
          <cell r="N344" t="str">
            <v>FAHRURROZZI ANDRIANSYAH</v>
          </cell>
          <cell r="O344" t="str">
            <v>FZA</v>
          </cell>
          <cell r="P344" t="str">
            <v>idFF72@jbr.indomaret.co.id</v>
          </cell>
          <cell r="Q344" t="str">
            <v>KAB. BONDOWOSO</v>
          </cell>
          <cell r="R344" t="str">
            <v>SDS</v>
          </cell>
        </row>
        <row r="345">
          <cell r="D345" t="str">
            <v>FHMC</v>
          </cell>
          <cell r="E345" t="str">
            <v>NANGKAAN  - BODOWOSO</v>
          </cell>
          <cell r="F345" t="str">
            <v>JEMBER</v>
          </cell>
          <cell r="G345" t="str">
            <v>F</v>
          </cell>
          <cell r="H345">
            <v>45078</v>
          </cell>
          <cell r="I345" t="str">
            <v xml:space="preserve">STANDARD </v>
          </cell>
          <cell r="J345">
            <v>2015562210</v>
          </cell>
          <cell r="K345" t="str">
            <v>SALOMO ARIEF</v>
          </cell>
          <cell r="L345" t="str">
            <v>SAL</v>
          </cell>
          <cell r="M345">
            <v>2007003858</v>
          </cell>
          <cell r="N345" t="str">
            <v>FAHRURROZZI ANDRIANSYAH</v>
          </cell>
          <cell r="O345" t="str">
            <v>FZA</v>
          </cell>
          <cell r="P345" t="str">
            <v>idFHMC@jbr.indomaret.co.id</v>
          </cell>
          <cell r="Q345" t="str">
            <v>KAB. BONDOWOSO</v>
          </cell>
          <cell r="R345" t="str">
            <v>SDS</v>
          </cell>
        </row>
        <row r="346">
          <cell r="D346" t="str">
            <v>FPID</v>
          </cell>
          <cell r="E346" t="str">
            <v>GAMBANGAN BONDOWOSO</v>
          </cell>
          <cell r="F346" t="str">
            <v>JEMBER</v>
          </cell>
          <cell r="G346" t="str">
            <v>F</v>
          </cell>
          <cell r="H346">
            <v>45078</v>
          </cell>
          <cell r="I346" t="str">
            <v xml:space="preserve">STANDARD </v>
          </cell>
          <cell r="J346">
            <v>2015562210</v>
          </cell>
          <cell r="K346" t="str">
            <v>SALOMO ARIEF</v>
          </cell>
          <cell r="L346" t="str">
            <v>SAL</v>
          </cell>
          <cell r="M346">
            <v>2007003858</v>
          </cell>
          <cell r="N346" t="str">
            <v>FAHRURROZZI ANDRIANSYAH</v>
          </cell>
          <cell r="O346" t="str">
            <v>FZA</v>
          </cell>
          <cell r="P346" t="str">
            <v>idFPID@jbr.indomaret.co.id</v>
          </cell>
          <cell r="Q346" t="str">
            <v>KAB. BONDOWOSO</v>
          </cell>
          <cell r="R346" t="str">
            <v>SDS</v>
          </cell>
        </row>
        <row r="347">
          <cell r="D347" t="str">
            <v>FPP7</v>
          </cell>
          <cell r="E347" t="str">
            <v>CURAHDAMI NO. 6</v>
          </cell>
          <cell r="F347" t="str">
            <v>JEMBER</v>
          </cell>
          <cell r="G347" t="str">
            <v>F</v>
          </cell>
          <cell r="H347">
            <v>44990</v>
          </cell>
          <cell r="I347" t="str">
            <v xml:space="preserve">STANDARD </v>
          </cell>
          <cell r="J347">
            <v>2015562210</v>
          </cell>
          <cell r="K347" t="str">
            <v>SALOMO ARIEF</v>
          </cell>
          <cell r="L347" t="str">
            <v>SAL</v>
          </cell>
          <cell r="M347">
            <v>2007003858</v>
          </cell>
          <cell r="N347" t="str">
            <v>FAHRURROZZI ANDRIANSYAH</v>
          </cell>
          <cell r="O347" t="str">
            <v>FZA</v>
          </cell>
          <cell r="P347" t="str">
            <v>idFPP7@jbr.indomaret.co.id</v>
          </cell>
          <cell r="Q347" t="str">
            <v>KAB. BONDOWOSO</v>
          </cell>
          <cell r="R347" t="str">
            <v>SDS</v>
          </cell>
        </row>
        <row r="348">
          <cell r="D348" t="str">
            <v>FYIL</v>
          </cell>
          <cell r="E348" t="str">
            <v>RAYA S PARMAN - BONDOWOSO</v>
          </cell>
          <cell r="F348" t="str">
            <v>JEMBER</v>
          </cell>
          <cell r="G348" t="str">
            <v>F</v>
          </cell>
          <cell r="H348">
            <v>44409</v>
          </cell>
          <cell r="I348" t="str">
            <v xml:space="preserve">STANDARD </v>
          </cell>
          <cell r="J348">
            <v>2015562210</v>
          </cell>
          <cell r="K348" t="str">
            <v>SALOMO ARIEF</v>
          </cell>
          <cell r="L348" t="str">
            <v>SAL</v>
          </cell>
          <cell r="M348">
            <v>2007003858</v>
          </cell>
          <cell r="N348" t="str">
            <v>FAHRURROZZI ANDRIANSYAH</v>
          </cell>
          <cell r="O348" t="str">
            <v>FZA</v>
          </cell>
          <cell r="P348" t="str">
            <v>idFYIL@jbr.indomaret.co.id</v>
          </cell>
          <cell r="Q348" t="str">
            <v>KAB. BONDOWOSO</v>
          </cell>
          <cell r="R348" t="str">
            <v>SDS</v>
          </cell>
        </row>
        <row r="349">
          <cell r="D349" t="str">
            <v>T8Z8</v>
          </cell>
          <cell r="E349" t="str">
            <v>BONDOWOSO JEMBER PAKUNIRAN</v>
          </cell>
          <cell r="F349" t="str">
            <v>JEMBER</v>
          </cell>
          <cell r="G349" t="str">
            <v>R</v>
          </cell>
          <cell r="H349">
            <v>46077</v>
          </cell>
          <cell r="I349" t="str">
            <v>STANDARD NEW</v>
          </cell>
          <cell r="J349">
            <v>2015562210</v>
          </cell>
          <cell r="K349" t="str">
            <v>SALOMO ARIEF</v>
          </cell>
          <cell r="L349" t="str">
            <v>SAL</v>
          </cell>
          <cell r="M349">
            <v>2007003858</v>
          </cell>
          <cell r="N349" t="str">
            <v>FAHRURROZZI ANDRIANSYAH</v>
          </cell>
          <cell r="O349" t="str">
            <v>FZA</v>
          </cell>
          <cell r="P349" t="str">
            <v>idmT8Z8@jbr.indomaret.co.id</v>
          </cell>
          <cell r="Q349" t="str">
            <v>KAB. BONDOWOSO</v>
          </cell>
          <cell r="R349" t="str">
            <v>SDN</v>
          </cell>
        </row>
        <row r="350">
          <cell r="D350" t="str">
            <v>TCUS</v>
          </cell>
          <cell r="E350" t="str">
            <v>PENANGGUNGAN - BONDOWOSO</v>
          </cell>
          <cell r="F350" t="str">
            <v>JEMBER</v>
          </cell>
          <cell r="G350" t="str">
            <v>R</v>
          </cell>
          <cell r="H350">
            <v>41478</v>
          </cell>
          <cell r="I350" t="str">
            <v xml:space="preserve">STANDARD </v>
          </cell>
          <cell r="J350">
            <v>2015562210</v>
          </cell>
          <cell r="K350" t="str">
            <v>SALOMO ARIEF</v>
          </cell>
          <cell r="L350" t="str">
            <v>SAL</v>
          </cell>
          <cell r="M350">
            <v>2007003858</v>
          </cell>
          <cell r="N350" t="str">
            <v>FAHRURROZZI ANDRIANSYAH</v>
          </cell>
          <cell r="O350" t="str">
            <v>FZA</v>
          </cell>
          <cell r="P350" t="str">
            <v>idmTCUS@jbr.indomaret.co.id</v>
          </cell>
          <cell r="Q350" t="str">
            <v>KAB. BONDOWOSO</v>
          </cell>
          <cell r="R350" t="str">
            <v>SDS</v>
          </cell>
        </row>
        <row r="351">
          <cell r="D351" t="str">
            <v>TINY</v>
          </cell>
          <cell r="E351" t="str">
            <v>A. YANI 57</v>
          </cell>
          <cell r="F351" t="str">
            <v>JEMBER</v>
          </cell>
          <cell r="G351" t="str">
            <v>R</v>
          </cell>
          <cell r="H351">
            <v>42823</v>
          </cell>
          <cell r="I351" t="str">
            <v xml:space="preserve">STANDARD </v>
          </cell>
          <cell r="J351">
            <v>2015562210</v>
          </cell>
          <cell r="K351" t="str">
            <v>SALOMO ARIEF</v>
          </cell>
          <cell r="L351" t="str">
            <v>SAL</v>
          </cell>
          <cell r="M351">
            <v>2007003858</v>
          </cell>
          <cell r="N351" t="str">
            <v>FAHRURROZZI ANDRIANSYAH</v>
          </cell>
          <cell r="O351" t="str">
            <v>FZA</v>
          </cell>
          <cell r="P351" t="str">
            <v>idmTINY@jbr.indomaret.co.id</v>
          </cell>
          <cell r="Q351" t="str">
            <v>KAB. BONDOWOSO</v>
          </cell>
          <cell r="R351" t="str">
            <v>SDS</v>
          </cell>
        </row>
        <row r="352">
          <cell r="D352" t="str">
            <v>TK63</v>
          </cell>
          <cell r="E352" t="str">
            <v>KEMBANG - BDO</v>
          </cell>
          <cell r="F352" t="str">
            <v>JEMBER</v>
          </cell>
          <cell r="G352" t="str">
            <v>R</v>
          </cell>
          <cell r="H352">
            <v>40627</v>
          </cell>
          <cell r="I352" t="str">
            <v xml:space="preserve">STANDARD </v>
          </cell>
          <cell r="J352">
            <v>2015562210</v>
          </cell>
          <cell r="K352" t="str">
            <v>SALOMO ARIEF</v>
          </cell>
          <cell r="L352" t="str">
            <v>SAL</v>
          </cell>
          <cell r="M352">
            <v>2007003858</v>
          </cell>
          <cell r="N352" t="str">
            <v>FAHRURROZZI ANDRIANSYAH</v>
          </cell>
          <cell r="O352" t="str">
            <v>FZA</v>
          </cell>
          <cell r="P352" t="str">
            <v>idmTK63@jbr.indomaret.co.id</v>
          </cell>
          <cell r="Q352" t="str">
            <v>KAB. BONDOWOSO</v>
          </cell>
          <cell r="R352" t="str">
            <v>SDS</v>
          </cell>
        </row>
        <row r="353">
          <cell r="D353" t="str">
            <v>TTOB</v>
          </cell>
          <cell r="E353" t="str">
            <v>SUKOWONO SUMBERSARI</v>
          </cell>
          <cell r="F353" t="str">
            <v>JEMBER</v>
          </cell>
          <cell r="G353" t="str">
            <v>R</v>
          </cell>
          <cell r="H353">
            <v>44923</v>
          </cell>
          <cell r="I353" t="str">
            <v xml:space="preserve">STANDARD </v>
          </cell>
          <cell r="J353">
            <v>2015562210</v>
          </cell>
          <cell r="K353" t="str">
            <v>SALOMO ARIEF</v>
          </cell>
          <cell r="L353" t="str">
            <v>SAL</v>
          </cell>
          <cell r="M353">
            <v>2007003858</v>
          </cell>
          <cell r="N353" t="str">
            <v>FAHRURROZZI ANDRIANSYAH</v>
          </cell>
          <cell r="O353" t="str">
            <v>FZA</v>
          </cell>
          <cell r="P353" t="str">
            <v>idmTTOB@jbr.indomaret.co.id</v>
          </cell>
          <cell r="Q353" t="str">
            <v>KAB. BONDOWOSO</v>
          </cell>
          <cell r="R353" t="str">
            <v>SDS</v>
          </cell>
        </row>
        <row r="354">
          <cell r="D354" t="str">
            <v>TWUN</v>
          </cell>
          <cell r="E354" t="str">
            <v>JELBUK</v>
          </cell>
          <cell r="F354" t="str">
            <v>JEMBER</v>
          </cell>
          <cell r="G354" t="str">
            <v>R</v>
          </cell>
          <cell r="H354">
            <v>42454</v>
          </cell>
          <cell r="I354" t="str">
            <v>STANDARD NEW</v>
          </cell>
          <cell r="J354">
            <v>2015562210</v>
          </cell>
          <cell r="K354" t="str">
            <v>SALOMO ARIEF</v>
          </cell>
          <cell r="L354" t="str">
            <v>SAL</v>
          </cell>
          <cell r="M354">
            <v>2007003858</v>
          </cell>
          <cell r="N354" t="str">
            <v>FAHRURROZZI ANDRIANSYAH</v>
          </cell>
          <cell r="O354" t="str">
            <v>FZA</v>
          </cell>
          <cell r="P354" t="str">
            <v>idmTWUN@jbr.indomaret.co.id</v>
          </cell>
          <cell r="Q354" t="str">
            <v>KAB. JEMBER</v>
          </cell>
          <cell r="R354" t="str">
            <v>SDN</v>
          </cell>
        </row>
        <row r="355">
          <cell r="D355" t="str">
            <v>TYUU</v>
          </cell>
          <cell r="E355" t="str">
            <v>MT.HARIYONO</v>
          </cell>
          <cell r="F355" t="str">
            <v>JEMBER</v>
          </cell>
          <cell r="G355" t="str">
            <v>R</v>
          </cell>
          <cell r="H355">
            <v>41974</v>
          </cell>
          <cell r="I355" t="str">
            <v xml:space="preserve">STANDARD </v>
          </cell>
          <cell r="J355">
            <v>2015562210</v>
          </cell>
          <cell r="K355" t="str">
            <v>SALOMO ARIEF</v>
          </cell>
          <cell r="L355" t="str">
            <v>SAL</v>
          </cell>
          <cell r="M355">
            <v>2007003858</v>
          </cell>
          <cell r="N355" t="str">
            <v>FAHRURROZZI ANDRIANSYAH</v>
          </cell>
          <cell r="O355" t="str">
            <v>FZA</v>
          </cell>
          <cell r="P355" t="str">
            <v>idmTYUU@jbr.indomaret.co.id</v>
          </cell>
          <cell r="Q355" t="str">
            <v>KAB. BONDOWOSO</v>
          </cell>
          <cell r="R355" t="str">
            <v>SDS</v>
          </cell>
        </row>
        <row r="356">
          <cell r="D356" t="str">
            <v>TIZY</v>
          </cell>
          <cell r="E356" t="str">
            <v>MAYJEN. PANJAITAN-BONDOWO</v>
          </cell>
          <cell r="F356" t="str">
            <v>JEMBER</v>
          </cell>
          <cell r="G356" t="str">
            <v>F</v>
          </cell>
          <cell r="H356">
            <v>44348</v>
          </cell>
          <cell r="I356" t="str">
            <v xml:space="preserve">STANDARD </v>
          </cell>
          <cell r="J356">
            <v>2015562210</v>
          </cell>
          <cell r="K356" t="str">
            <v>SALOMO ARIEF</v>
          </cell>
          <cell r="L356" t="str">
            <v>SAL</v>
          </cell>
          <cell r="M356">
            <v>2008420170</v>
          </cell>
          <cell r="N356" t="str">
            <v>RIO CUCUK ARIANTO</v>
          </cell>
          <cell r="O356" t="str">
            <v>RCO</v>
          </cell>
          <cell r="P356" t="str">
            <v>idF57Q@jbr.indomaret.co.id</v>
          </cell>
          <cell r="Q356" t="str">
            <v>KAB. BONDOWOSO</v>
          </cell>
          <cell r="R356" t="str">
            <v>SDS</v>
          </cell>
        </row>
        <row r="357">
          <cell r="D357" t="str">
            <v>FAZ4</v>
          </cell>
          <cell r="E357" t="str">
            <v>PUJER  BONDOWOSO</v>
          </cell>
          <cell r="F357" t="str">
            <v>JEMBER</v>
          </cell>
          <cell r="G357" t="str">
            <v>F</v>
          </cell>
          <cell r="H357">
            <v>44378</v>
          </cell>
          <cell r="I357" t="str">
            <v xml:space="preserve">STANDARD </v>
          </cell>
          <cell r="J357">
            <v>2015562210</v>
          </cell>
          <cell r="K357" t="str">
            <v>SALOMO ARIEF</v>
          </cell>
          <cell r="L357" t="str">
            <v>SAL</v>
          </cell>
          <cell r="M357">
            <v>2008420170</v>
          </cell>
          <cell r="N357" t="str">
            <v>RIO CUCUK ARIANTO</v>
          </cell>
          <cell r="O357" t="str">
            <v>RCO</v>
          </cell>
          <cell r="P357" t="str">
            <v>idFAZ4@jbr.indomaret.co.id</v>
          </cell>
          <cell r="Q357" t="str">
            <v>KAB. BONDOWOSO</v>
          </cell>
          <cell r="R357" t="str">
            <v>SDS</v>
          </cell>
        </row>
        <row r="358">
          <cell r="D358" t="str">
            <v>FRCF</v>
          </cell>
          <cell r="E358" t="str">
            <v>PELITA</v>
          </cell>
          <cell r="F358" t="str">
            <v>JEMBER</v>
          </cell>
          <cell r="G358" t="str">
            <v>F</v>
          </cell>
          <cell r="H358">
            <v>46083</v>
          </cell>
          <cell r="I358" t="str">
            <v xml:space="preserve">STANDARD </v>
          </cell>
          <cell r="J358">
            <v>2015562210</v>
          </cell>
          <cell r="K358" t="str">
            <v>SALOMO ARIEF</v>
          </cell>
          <cell r="L358" t="str">
            <v>SAL</v>
          </cell>
          <cell r="M358">
            <v>2008420170</v>
          </cell>
          <cell r="N358" t="str">
            <v>RIO CUCUK ARIANTO</v>
          </cell>
          <cell r="O358" t="str">
            <v>RCO</v>
          </cell>
          <cell r="P358" t="str">
            <v>idFRCF@jbr.indomaret.co.id</v>
          </cell>
          <cell r="Q358" t="str">
            <v>KAB. BONDOWOSO</v>
          </cell>
          <cell r="R358" t="str">
            <v>SDS</v>
          </cell>
        </row>
        <row r="359">
          <cell r="D359" t="str">
            <v>FV0V</v>
          </cell>
          <cell r="E359" t="str">
            <v>KOLONEL SUGIONO</v>
          </cell>
          <cell r="F359" t="str">
            <v>JEMBER</v>
          </cell>
          <cell r="G359" t="str">
            <v>F</v>
          </cell>
          <cell r="H359">
            <v>46022</v>
          </cell>
          <cell r="I359" t="str">
            <v xml:space="preserve">STANDARD </v>
          </cell>
          <cell r="J359">
            <v>2015562210</v>
          </cell>
          <cell r="K359" t="str">
            <v>SALOMO ARIEF</v>
          </cell>
          <cell r="L359" t="str">
            <v>SAL</v>
          </cell>
          <cell r="M359">
            <v>2008420170</v>
          </cell>
          <cell r="N359" t="str">
            <v>RIO CUCUK ARIANTO</v>
          </cell>
          <cell r="O359" t="str">
            <v>RCO</v>
          </cell>
          <cell r="P359" t="str">
            <v>idFV0V@jbr.indomaret.co.id</v>
          </cell>
          <cell r="Q359" t="str">
            <v>KAB. BONDOWOSO</v>
          </cell>
          <cell r="R359" t="str">
            <v>SDS</v>
          </cell>
        </row>
        <row r="360">
          <cell r="D360" t="str">
            <v>TESQ</v>
          </cell>
          <cell r="E360" t="str">
            <v>SUKOREJO SUKOWONO</v>
          </cell>
          <cell r="F360" t="str">
            <v>JEMBER</v>
          </cell>
          <cell r="G360" t="str">
            <v>R</v>
          </cell>
          <cell r="H360">
            <v>41121</v>
          </cell>
          <cell r="I360" t="str">
            <v>STANDARD NEW</v>
          </cell>
          <cell r="J360">
            <v>2015562210</v>
          </cell>
          <cell r="K360" t="str">
            <v>SALOMO ARIEF</v>
          </cell>
          <cell r="L360" t="str">
            <v>SAL</v>
          </cell>
          <cell r="M360">
            <v>2008420170</v>
          </cell>
          <cell r="N360" t="str">
            <v>RIO CUCUK ARIANTO</v>
          </cell>
          <cell r="O360" t="str">
            <v>RCO</v>
          </cell>
          <cell r="P360" t="str">
            <v>idmTESQ@jbr.indomaret.co.id</v>
          </cell>
          <cell r="Q360" t="str">
            <v>KAB. JEMBER</v>
          </cell>
          <cell r="R360" t="str">
            <v>SDN</v>
          </cell>
        </row>
        <row r="361">
          <cell r="D361" t="str">
            <v>TF63</v>
          </cell>
          <cell r="E361" t="str">
            <v>SUKOWONO - JEMBER</v>
          </cell>
          <cell r="F361" t="str">
            <v>JEMBER</v>
          </cell>
          <cell r="G361" t="str">
            <v>R</v>
          </cell>
          <cell r="H361">
            <v>38820</v>
          </cell>
          <cell r="I361" t="str">
            <v xml:space="preserve">STANDARD </v>
          </cell>
          <cell r="J361">
            <v>2015562210</v>
          </cell>
          <cell r="K361" t="str">
            <v>SALOMO ARIEF</v>
          </cell>
          <cell r="L361" t="str">
            <v>SAL</v>
          </cell>
          <cell r="M361">
            <v>2008420170</v>
          </cell>
          <cell r="N361" t="str">
            <v>RIO CUCUK ARIANTO</v>
          </cell>
          <cell r="O361" t="str">
            <v>RCO</v>
          </cell>
          <cell r="P361" t="str">
            <v>idmTF63@jbr.indomaret.co.id</v>
          </cell>
          <cell r="Q361" t="str">
            <v>KAB. JEMBER</v>
          </cell>
          <cell r="R361" t="str">
            <v>SDS</v>
          </cell>
        </row>
        <row r="362">
          <cell r="D362" t="str">
            <v>TGVK</v>
          </cell>
          <cell r="E362" t="str">
            <v>RAYA TLOGOSARI</v>
          </cell>
          <cell r="F362" t="str">
            <v>JEMBER</v>
          </cell>
          <cell r="G362" t="str">
            <v>R</v>
          </cell>
          <cell r="H362">
            <v>45177</v>
          </cell>
          <cell r="I362" t="str">
            <v xml:space="preserve">STANDARD </v>
          </cell>
          <cell r="J362">
            <v>2015562210</v>
          </cell>
          <cell r="K362" t="str">
            <v>SALOMO ARIEF</v>
          </cell>
          <cell r="L362" t="str">
            <v>SAL</v>
          </cell>
          <cell r="M362">
            <v>2008420170</v>
          </cell>
          <cell r="N362" t="str">
            <v>RIO CUCUK ARIANTO</v>
          </cell>
          <cell r="O362" t="str">
            <v>RCO</v>
          </cell>
          <cell r="P362" t="str">
            <v>idmTEVK@jbr.indomaret.co.id</v>
          </cell>
          <cell r="Q362" t="str">
            <v>KAB. BONDOWOSO</v>
          </cell>
          <cell r="R362" t="str">
            <v>SDS</v>
          </cell>
        </row>
        <row r="363">
          <cell r="D363" t="str">
            <v>TKQW</v>
          </cell>
          <cell r="E363" t="str">
            <v>RAYA TAMANAN GRUJUGAN</v>
          </cell>
          <cell r="F363" t="str">
            <v>JEMBER</v>
          </cell>
          <cell r="G363" t="str">
            <v>R</v>
          </cell>
          <cell r="H363">
            <v>45453</v>
          </cell>
          <cell r="I363" t="str">
            <v xml:space="preserve">STANDARD </v>
          </cell>
          <cell r="J363">
            <v>2015562210</v>
          </cell>
          <cell r="K363" t="str">
            <v>SALOMO ARIEF</v>
          </cell>
          <cell r="L363" t="str">
            <v>SAL</v>
          </cell>
          <cell r="M363">
            <v>2008420170</v>
          </cell>
          <cell r="N363" t="str">
            <v>RIO CUCUK ARIANTO</v>
          </cell>
          <cell r="O363" t="str">
            <v>RCO</v>
          </cell>
          <cell r="P363" t="str">
            <v>idmTKQW@jbr.indomaret.co.id</v>
          </cell>
          <cell r="Q363" t="str">
            <v>KAB. BONDOWOSO</v>
          </cell>
          <cell r="R363" t="str">
            <v>SDS</v>
          </cell>
        </row>
        <row r="364">
          <cell r="D364" t="str">
            <v>TLD9</v>
          </cell>
          <cell r="E364" t="str">
            <v>RAYA TAMANAN BONDOWOSO</v>
          </cell>
          <cell r="F364" t="str">
            <v>JEMBER</v>
          </cell>
          <cell r="G364" t="str">
            <v>R</v>
          </cell>
          <cell r="H364">
            <v>41548</v>
          </cell>
          <cell r="I364" t="str">
            <v xml:space="preserve">STANDARD </v>
          </cell>
          <cell r="J364">
            <v>2015562210</v>
          </cell>
          <cell r="K364" t="str">
            <v>SALOMO ARIEF</v>
          </cell>
          <cell r="L364" t="str">
            <v>SAL</v>
          </cell>
          <cell r="M364">
            <v>2008420170</v>
          </cell>
          <cell r="N364" t="str">
            <v>RIO CUCUK ARIANTO</v>
          </cell>
          <cell r="O364" t="str">
            <v>RCO</v>
          </cell>
          <cell r="P364" t="str">
            <v>idmTLD9@jbr.indomaret.co.id</v>
          </cell>
          <cell r="Q364" t="str">
            <v>KAB. BONDOWOSO</v>
          </cell>
          <cell r="R364" t="str">
            <v>SDS</v>
          </cell>
        </row>
        <row r="365">
          <cell r="D365" t="str">
            <v>TLEN</v>
          </cell>
          <cell r="E365" t="str">
            <v>KIS MANGUNSARKORO - BDO</v>
          </cell>
          <cell r="F365" t="str">
            <v>JEMBER</v>
          </cell>
          <cell r="G365" t="str">
            <v>R</v>
          </cell>
          <cell r="H365">
            <v>44075</v>
          </cell>
          <cell r="I365" t="str">
            <v>STANDARD NEW</v>
          </cell>
          <cell r="J365">
            <v>2015562210</v>
          </cell>
          <cell r="K365" t="str">
            <v>SALOMO ARIEF</v>
          </cell>
          <cell r="L365" t="str">
            <v>SAL</v>
          </cell>
          <cell r="M365">
            <v>2008420170</v>
          </cell>
          <cell r="N365" t="str">
            <v>RIO CUCUK ARIANTO</v>
          </cell>
          <cell r="O365" t="str">
            <v>RCO</v>
          </cell>
          <cell r="P365" t="str">
            <v>idMTLEN@jbr.indomaret.co.id</v>
          </cell>
          <cell r="Q365" t="str">
            <v>KAB. BONDOWOSO</v>
          </cell>
          <cell r="R365" t="str">
            <v>SDN</v>
          </cell>
        </row>
        <row r="366">
          <cell r="D366" t="str">
            <v>TNZ9</v>
          </cell>
          <cell r="E366" t="str">
            <v>RAYA PAKISAN</v>
          </cell>
          <cell r="F366" t="str">
            <v>JEMBER</v>
          </cell>
          <cell r="G366" t="str">
            <v>R</v>
          </cell>
          <cell r="H366">
            <v>45001</v>
          </cell>
          <cell r="I366" t="str">
            <v xml:space="preserve">STANDARD </v>
          </cell>
          <cell r="J366">
            <v>2015562210</v>
          </cell>
          <cell r="K366" t="str">
            <v>SALOMO ARIEF</v>
          </cell>
          <cell r="L366" t="str">
            <v>SAL</v>
          </cell>
          <cell r="M366">
            <v>2008420170</v>
          </cell>
          <cell r="N366" t="str">
            <v>RIO CUCUK ARIANTO</v>
          </cell>
          <cell r="O366" t="str">
            <v>RCO</v>
          </cell>
          <cell r="P366" t="str">
            <v>idmTNZ9@jbr.indomaret.co.id</v>
          </cell>
          <cell r="Q366" t="str">
            <v>KAB. BONDOWOSO</v>
          </cell>
          <cell r="R366" t="str">
            <v>SDS</v>
          </cell>
        </row>
        <row r="367">
          <cell r="D367" t="str">
            <v>TTTZ</v>
          </cell>
          <cell r="E367" t="str">
            <v>TAMANAN</v>
          </cell>
          <cell r="F367" t="str">
            <v>JEMBER</v>
          </cell>
          <cell r="G367" t="str">
            <v>R</v>
          </cell>
          <cell r="H367">
            <v>42005</v>
          </cell>
          <cell r="I367" t="str">
            <v xml:space="preserve">STANDARD </v>
          </cell>
          <cell r="J367">
            <v>2015562210</v>
          </cell>
          <cell r="K367" t="str">
            <v>SALOMO ARIEF</v>
          </cell>
          <cell r="L367" t="str">
            <v>SAL</v>
          </cell>
          <cell r="M367">
            <v>2008420170</v>
          </cell>
          <cell r="N367" t="str">
            <v>RIO CUCUK ARIANTO</v>
          </cell>
          <cell r="O367" t="str">
            <v>RCO</v>
          </cell>
          <cell r="P367" t="str">
            <v>idmTTTZ@jbr.indomaret.co.id</v>
          </cell>
          <cell r="Q367" t="str">
            <v>KAB. BONDOWOSO</v>
          </cell>
          <cell r="R367" t="str">
            <v>SDS</v>
          </cell>
        </row>
        <row r="368">
          <cell r="D368" t="str">
            <v>TWRG</v>
          </cell>
          <cell r="E368" t="str">
            <v>KH. ABDURRAHMAN JAMBESARI</v>
          </cell>
          <cell r="F368" t="str">
            <v>JEMBER</v>
          </cell>
          <cell r="G368" t="str">
            <v>R</v>
          </cell>
          <cell r="H368">
            <v>45983</v>
          </cell>
          <cell r="I368" t="str">
            <v xml:space="preserve">STANDARD </v>
          </cell>
          <cell r="J368">
            <v>2015562210</v>
          </cell>
          <cell r="K368" t="str">
            <v>SALOMO ARIEF</v>
          </cell>
          <cell r="L368" t="str">
            <v>SAL</v>
          </cell>
          <cell r="M368">
            <v>2008420170</v>
          </cell>
          <cell r="N368" t="str">
            <v>RIO CUCUK ARIANTO</v>
          </cell>
          <cell r="O368" t="str">
            <v>RCO</v>
          </cell>
          <cell r="P368" t="str">
            <v>idmTWRG@jbr.indomaret.co.id</v>
          </cell>
          <cell r="Q368" t="str">
            <v>KAB. BONDOWOSO</v>
          </cell>
          <cell r="R368" t="str">
            <v>SDS</v>
          </cell>
        </row>
        <row r="369">
          <cell r="D369" t="str">
            <v>TZ1N</v>
          </cell>
          <cell r="E369" t="str">
            <v>TLOGOSARI BDO</v>
          </cell>
          <cell r="F369" t="str">
            <v>JEMBER</v>
          </cell>
          <cell r="G369" t="str">
            <v>R</v>
          </cell>
          <cell r="H369">
            <v>41514</v>
          </cell>
          <cell r="I369" t="str">
            <v xml:space="preserve">STANDARD </v>
          </cell>
          <cell r="J369">
            <v>2015562210</v>
          </cell>
          <cell r="K369" t="str">
            <v>SALOMO ARIEF</v>
          </cell>
          <cell r="L369" t="str">
            <v>SAL</v>
          </cell>
          <cell r="M369">
            <v>2008420170</v>
          </cell>
          <cell r="N369" t="str">
            <v>RIO CUCUK ARIANTO</v>
          </cell>
          <cell r="O369" t="str">
            <v>RCO</v>
          </cell>
          <cell r="P369" t="str">
            <v>idmTZ1N@jbr.indomaret.co.id</v>
          </cell>
          <cell r="Q369" t="str">
            <v>KAB. BONDOWOSO</v>
          </cell>
          <cell r="R369" t="str">
            <v>SDS</v>
          </cell>
        </row>
        <row r="370">
          <cell r="D370" t="str">
            <v>FFAY</v>
          </cell>
          <cell r="E370" t="str">
            <v>MARON  PROBOLINGGO</v>
          </cell>
          <cell r="F370" t="str">
            <v>JEMBER</v>
          </cell>
          <cell r="G370" t="str">
            <v>F</v>
          </cell>
          <cell r="H370">
            <v>45170</v>
          </cell>
          <cell r="I370" t="str">
            <v xml:space="preserve">STANDARD </v>
          </cell>
          <cell r="J370">
            <v>2010003996</v>
          </cell>
          <cell r="K370" t="str">
            <v>SOTARBAHAS HUTABALIAN</v>
          </cell>
          <cell r="L370" t="str">
            <v>SBN</v>
          </cell>
          <cell r="M370">
            <v>2013001930</v>
          </cell>
          <cell r="N370" t="str">
            <v>ANDRI NURSHOLEH</v>
          </cell>
          <cell r="O370" t="str">
            <v>ANS</v>
          </cell>
          <cell r="P370" t="str">
            <v>idFFAY@jbr.indomaret.co.id</v>
          </cell>
          <cell r="Q370" t="str">
            <v>KAB. PROBOLINGGO</v>
          </cell>
          <cell r="R370" t="str">
            <v>SDS</v>
          </cell>
        </row>
        <row r="371">
          <cell r="D371" t="str">
            <v>FFHI</v>
          </cell>
          <cell r="E371" t="str">
            <v>RAYA PEKALEN MARON</v>
          </cell>
          <cell r="F371" t="str">
            <v>JEMBER</v>
          </cell>
          <cell r="G371" t="str">
            <v>F</v>
          </cell>
          <cell r="H371">
            <v>45534</v>
          </cell>
          <cell r="I371" t="str">
            <v xml:space="preserve">STANDARD </v>
          </cell>
          <cell r="J371">
            <v>2010003996</v>
          </cell>
          <cell r="K371" t="str">
            <v>SOTARBAHAS HUTABALIAN</v>
          </cell>
          <cell r="L371" t="str">
            <v>SBN</v>
          </cell>
          <cell r="M371">
            <v>2013001930</v>
          </cell>
          <cell r="N371" t="str">
            <v>ANDRI NURSHOLEH</v>
          </cell>
          <cell r="O371" t="str">
            <v>ANS</v>
          </cell>
          <cell r="P371" t="str">
            <v>idFFHI@jbr.indomaret.co.id</v>
          </cell>
          <cell r="Q371" t="str">
            <v>KAB. PROBOLINGGO</v>
          </cell>
          <cell r="R371" t="str">
            <v>SDS</v>
          </cell>
        </row>
        <row r="372">
          <cell r="D372" t="str">
            <v>FP00</v>
          </cell>
          <cell r="E372" t="str">
            <v>GENDING</v>
          </cell>
          <cell r="F372" t="str">
            <v>JEMBER</v>
          </cell>
          <cell r="G372" t="str">
            <v>F</v>
          </cell>
          <cell r="H372">
            <v>45566</v>
          </cell>
          <cell r="I372" t="str">
            <v xml:space="preserve">STANDARD </v>
          </cell>
          <cell r="J372">
            <v>2010003996</v>
          </cell>
          <cell r="K372" t="str">
            <v>SOTARBAHAS HUTABALIAN</v>
          </cell>
          <cell r="L372" t="str">
            <v>SBN</v>
          </cell>
          <cell r="M372">
            <v>2013001930</v>
          </cell>
          <cell r="N372" t="str">
            <v>ANDRI NURSHOLEH</v>
          </cell>
          <cell r="O372" t="str">
            <v>ANS</v>
          </cell>
          <cell r="P372" t="str">
            <v>idFP00@jbr.indomaret.co.id</v>
          </cell>
          <cell r="Q372" t="str">
            <v>KAB. PROBOLINGGO</v>
          </cell>
          <cell r="R372" t="str">
            <v>SDS</v>
          </cell>
        </row>
        <row r="373">
          <cell r="D373" t="str">
            <v>TAHH</v>
          </cell>
          <cell r="E373" t="str">
            <v>GENDING 227 PBO</v>
          </cell>
          <cell r="F373" t="str">
            <v>JEMBER</v>
          </cell>
          <cell r="G373" t="str">
            <v>R</v>
          </cell>
          <cell r="H373">
            <v>41835</v>
          </cell>
          <cell r="I373" t="str">
            <v xml:space="preserve">STANDARD </v>
          </cell>
          <cell r="J373">
            <v>2010003996</v>
          </cell>
          <cell r="K373" t="str">
            <v>SOTARBAHAS HUTABALIAN</v>
          </cell>
          <cell r="L373" t="str">
            <v>SBN</v>
          </cell>
          <cell r="M373">
            <v>2013001930</v>
          </cell>
          <cell r="N373" t="str">
            <v>ANDRI NURSHOLEH</v>
          </cell>
          <cell r="O373" t="str">
            <v>ANS</v>
          </cell>
          <cell r="P373" t="str">
            <v>idmTAHH@jbr.indomaret.co.id</v>
          </cell>
          <cell r="Q373" t="str">
            <v>KAB. PROBOLINGGO</v>
          </cell>
          <cell r="R373" t="str">
            <v>SDS</v>
          </cell>
        </row>
        <row r="374">
          <cell r="D374" t="str">
            <v>TPVQ</v>
          </cell>
          <cell r="E374" t="str">
            <v>KARANGPRANTI</v>
          </cell>
          <cell r="F374" t="str">
            <v>JEMBER</v>
          </cell>
          <cell r="G374" t="str">
            <v>R</v>
          </cell>
          <cell r="H374">
            <v>44093</v>
          </cell>
          <cell r="I374" t="str">
            <v xml:space="preserve">STANDARD </v>
          </cell>
          <cell r="J374">
            <v>2010003996</v>
          </cell>
          <cell r="K374" t="str">
            <v>SOTARBAHAS HUTABALIAN</v>
          </cell>
          <cell r="L374" t="str">
            <v>SBN</v>
          </cell>
          <cell r="M374">
            <v>2013001930</v>
          </cell>
          <cell r="N374" t="str">
            <v>ANDRI NURSHOLEH</v>
          </cell>
          <cell r="O374" t="str">
            <v>ANS</v>
          </cell>
          <cell r="P374" t="str">
            <v>idmTPVQ@jbr.indomaret.co.id</v>
          </cell>
          <cell r="Q374" t="str">
            <v>KAB. PROBOLINGGO</v>
          </cell>
          <cell r="R374" t="str">
            <v>SDS</v>
          </cell>
        </row>
        <row r="375">
          <cell r="D375" t="str">
            <v>TUWD</v>
          </cell>
          <cell r="E375" t="str">
            <v>MARON WETAN</v>
          </cell>
          <cell r="F375" t="str">
            <v>JEMBER</v>
          </cell>
          <cell r="G375" t="str">
            <v>R</v>
          </cell>
          <cell r="H375">
            <v>45653</v>
          </cell>
          <cell r="I375" t="str">
            <v xml:space="preserve">STANDARD </v>
          </cell>
          <cell r="J375">
            <v>2010003996</v>
          </cell>
          <cell r="K375" t="str">
            <v>SOTARBAHAS HUTABALIAN</v>
          </cell>
          <cell r="L375" t="str">
            <v>SBN</v>
          </cell>
          <cell r="M375">
            <v>2013001930</v>
          </cell>
          <cell r="N375" t="str">
            <v>ANDRI NURSHOLEH</v>
          </cell>
          <cell r="O375" t="str">
            <v>ANS</v>
          </cell>
          <cell r="P375" t="str">
            <v>idmTUWD@jbr.indomaret.co.id</v>
          </cell>
          <cell r="Q375" t="str">
            <v>KAB. PROBOLINGGO</v>
          </cell>
          <cell r="R375" t="str">
            <v>SDS</v>
          </cell>
        </row>
        <row r="376">
          <cell r="D376" t="str">
            <v>TZ0G</v>
          </cell>
          <cell r="E376" t="str">
            <v>RAYA SEBAUNG</v>
          </cell>
          <cell r="F376" t="str">
            <v>JEMBER</v>
          </cell>
          <cell r="G376" t="str">
            <v>R</v>
          </cell>
          <cell r="H376">
            <v>45560</v>
          </cell>
          <cell r="I376" t="str">
            <v xml:space="preserve">STANDARD </v>
          </cell>
          <cell r="J376">
            <v>2010003996</v>
          </cell>
          <cell r="K376" t="str">
            <v>SOTARBAHAS HUTABALIAN</v>
          </cell>
          <cell r="L376" t="str">
            <v>SBN</v>
          </cell>
          <cell r="M376">
            <v>2013001930</v>
          </cell>
          <cell r="N376" t="str">
            <v>ANDRI NURSHOLEH</v>
          </cell>
          <cell r="O376" t="str">
            <v>ANS</v>
          </cell>
          <cell r="P376" t="str">
            <v>idmTZ0G@jbr.indomaret.co.id</v>
          </cell>
          <cell r="Q376" t="str">
            <v>KAB. PROBOLINGGO</v>
          </cell>
          <cell r="R376" t="str">
            <v>SDS</v>
          </cell>
        </row>
        <row r="377">
          <cell r="D377" t="str">
            <v>TZFN</v>
          </cell>
          <cell r="E377" t="str">
            <v>RAYA KLENANG</v>
          </cell>
          <cell r="F377" t="str">
            <v>JEMBER</v>
          </cell>
          <cell r="G377" t="str">
            <v>R</v>
          </cell>
          <cell r="H377">
            <v>45991</v>
          </cell>
          <cell r="I377" t="str">
            <v xml:space="preserve">STANDARD </v>
          </cell>
          <cell r="J377">
            <v>2010003996</v>
          </cell>
          <cell r="K377" t="str">
            <v>SOTARBAHAS HUTABALIAN</v>
          </cell>
          <cell r="L377" t="str">
            <v>SBN</v>
          </cell>
          <cell r="M377">
            <v>2013001930</v>
          </cell>
          <cell r="N377" t="str">
            <v>ANDRI NURSHOLEH</v>
          </cell>
          <cell r="O377" t="str">
            <v>ANS</v>
          </cell>
          <cell r="P377" t="str">
            <v>idmTZFN@jbr.indomaret.co.id</v>
          </cell>
          <cell r="Q377" t="str">
            <v>KAB. PROBOLINGGO</v>
          </cell>
          <cell r="R377" t="str">
            <v>SDS</v>
          </cell>
        </row>
        <row r="378">
          <cell r="D378" t="str">
            <v>FA3I</v>
          </cell>
          <cell r="E378" t="str">
            <v>A. YANI 35</v>
          </cell>
          <cell r="F378" t="str">
            <v>JEMBER</v>
          </cell>
          <cell r="G378" t="str">
            <v>F</v>
          </cell>
          <cell r="H378">
            <v>44616</v>
          </cell>
          <cell r="I378" t="str">
            <v xml:space="preserve">STANDARD </v>
          </cell>
          <cell r="J378">
            <v>2010003996</v>
          </cell>
          <cell r="K378" t="str">
            <v>SOTARBAHAS HUTABALIAN</v>
          </cell>
          <cell r="L378" t="str">
            <v>SBN</v>
          </cell>
          <cell r="M378">
            <v>2006003896</v>
          </cell>
          <cell r="N378" t="str">
            <v>FAJAR SURYOHADI</v>
          </cell>
          <cell r="O378" t="str">
            <v>FSI</v>
          </cell>
          <cell r="P378" t="str">
            <v>idFA3I@jbr.indomaret.co.id</v>
          </cell>
          <cell r="Q378" t="str">
            <v>KAB. LUMAJANG</v>
          </cell>
          <cell r="R378" t="str">
            <v>SDS</v>
          </cell>
        </row>
        <row r="379">
          <cell r="D379" t="str">
            <v>FDOJ</v>
          </cell>
          <cell r="E379" t="str">
            <v>KARANG ANOM</v>
          </cell>
          <cell r="F379" t="str">
            <v>JEMBER</v>
          </cell>
          <cell r="G379" t="str">
            <v>F</v>
          </cell>
          <cell r="H379">
            <v>45748</v>
          </cell>
          <cell r="I379" t="str">
            <v xml:space="preserve">STANDARD </v>
          </cell>
          <cell r="J379">
            <v>2010003996</v>
          </cell>
          <cell r="K379" t="str">
            <v>SOTARBAHAS HUTABALIAN</v>
          </cell>
          <cell r="L379" t="str">
            <v>SBN</v>
          </cell>
          <cell r="M379">
            <v>2006003896</v>
          </cell>
          <cell r="N379" t="str">
            <v>FAJAR SURYOHADI</v>
          </cell>
          <cell r="O379" t="str">
            <v>FSI</v>
          </cell>
          <cell r="P379" t="str">
            <v>idFDOJ@jbr.indomaret.co.id</v>
          </cell>
          <cell r="Q379" t="str">
            <v>KAB. LUMAJANG</v>
          </cell>
          <cell r="R379" t="str">
            <v>SDS</v>
          </cell>
        </row>
        <row r="380">
          <cell r="D380" t="str">
            <v>FLUK</v>
          </cell>
          <cell r="E380" t="str">
            <v>MAHAKAM</v>
          </cell>
          <cell r="F380" t="str">
            <v>JEMBER</v>
          </cell>
          <cell r="G380" t="str">
            <v>F</v>
          </cell>
          <cell r="H380">
            <v>44530</v>
          </cell>
          <cell r="I380" t="str">
            <v xml:space="preserve">STANDARD </v>
          </cell>
          <cell r="J380">
            <v>2010003996</v>
          </cell>
          <cell r="K380" t="str">
            <v>SOTARBAHAS HUTABALIAN</v>
          </cell>
          <cell r="L380" t="str">
            <v>SBN</v>
          </cell>
          <cell r="M380">
            <v>2006003896</v>
          </cell>
          <cell r="N380" t="str">
            <v>FAJAR SURYOHADI</v>
          </cell>
          <cell r="O380" t="str">
            <v>FSI</v>
          </cell>
          <cell r="P380" t="str">
            <v>idFLUK@jbr.indomaret.co.id</v>
          </cell>
          <cell r="Q380" t="str">
            <v>KAB. LUMAJANG</v>
          </cell>
          <cell r="R380" t="str">
            <v>SDS</v>
          </cell>
        </row>
        <row r="381">
          <cell r="D381" t="str">
            <v>FMFE</v>
          </cell>
          <cell r="E381" t="str">
            <v>SENDURO LUMAJANG</v>
          </cell>
          <cell r="F381" t="str">
            <v>JEMBER</v>
          </cell>
          <cell r="G381" t="str">
            <v>F</v>
          </cell>
          <cell r="H381">
            <v>45474</v>
          </cell>
          <cell r="I381" t="str">
            <v xml:space="preserve">STANDARD </v>
          </cell>
          <cell r="J381">
            <v>2010003996</v>
          </cell>
          <cell r="K381" t="str">
            <v>SOTARBAHAS HUTABALIAN</v>
          </cell>
          <cell r="L381" t="str">
            <v>SBN</v>
          </cell>
          <cell r="M381">
            <v>2006003896</v>
          </cell>
          <cell r="N381" t="str">
            <v>FAJAR SURYOHADI</v>
          </cell>
          <cell r="O381" t="str">
            <v>FSI</v>
          </cell>
          <cell r="P381" t="str">
            <v>idF11E@jbr.indomaret.co.id</v>
          </cell>
          <cell r="Q381" t="str">
            <v>KAB. LUMAJANG</v>
          </cell>
          <cell r="R381" t="str">
            <v>SDS</v>
          </cell>
        </row>
        <row r="382">
          <cell r="D382" t="str">
            <v>FRVU</v>
          </cell>
          <cell r="E382" t="str">
            <v>LABRUK  - LUMAJANG</v>
          </cell>
          <cell r="F382" t="str">
            <v>JEMBER</v>
          </cell>
          <cell r="G382" t="str">
            <v>F</v>
          </cell>
          <cell r="H382">
            <v>44562</v>
          </cell>
          <cell r="I382" t="str">
            <v xml:space="preserve">STANDARD </v>
          </cell>
          <cell r="J382">
            <v>2010003996</v>
          </cell>
          <cell r="K382" t="str">
            <v>SOTARBAHAS HUTABALIAN</v>
          </cell>
          <cell r="L382" t="str">
            <v>SBN</v>
          </cell>
          <cell r="M382">
            <v>2006003896</v>
          </cell>
          <cell r="N382" t="str">
            <v>FAJAR SURYOHADI</v>
          </cell>
          <cell r="O382" t="str">
            <v>FSI</v>
          </cell>
          <cell r="P382" t="str">
            <v>idFRVU@jbr.indomaret.co.id</v>
          </cell>
          <cell r="Q382" t="str">
            <v>KAB. LUMAJANG</v>
          </cell>
          <cell r="R382" t="str">
            <v>SDS</v>
          </cell>
        </row>
        <row r="383">
          <cell r="D383" t="str">
            <v>FSEN</v>
          </cell>
          <cell r="E383" t="str">
            <v>SEMERU</v>
          </cell>
          <cell r="F383" t="str">
            <v>JEMBER</v>
          </cell>
          <cell r="G383" t="str">
            <v>F</v>
          </cell>
          <cell r="H383">
            <v>44439</v>
          </cell>
          <cell r="I383" t="str">
            <v xml:space="preserve">STANDARD </v>
          </cell>
          <cell r="J383">
            <v>2010003996</v>
          </cell>
          <cell r="K383" t="str">
            <v>SOTARBAHAS HUTABALIAN</v>
          </cell>
          <cell r="L383" t="str">
            <v>SBN</v>
          </cell>
          <cell r="M383">
            <v>2006003896</v>
          </cell>
          <cell r="N383" t="str">
            <v>FAJAR SURYOHADI</v>
          </cell>
          <cell r="O383" t="str">
            <v>FSI</v>
          </cell>
          <cell r="P383" t="str">
            <v>idFSEN@jbr.indomaret.co.id</v>
          </cell>
          <cell r="Q383" t="str">
            <v>KAB. LUMAJANG</v>
          </cell>
          <cell r="R383" t="str">
            <v>SDS</v>
          </cell>
        </row>
        <row r="384">
          <cell r="D384" t="str">
            <v>TADN</v>
          </cell>
          <cell r="E384" t="str">
            <v>PB SUDIRMAN KUNIR</v>
          </cell>
          <cell r="F384" t="str">
            <v>JEMBER</v>
          </cell>
          <cell r="G384" t="str">
            <v>R</v>
          </cell>
          <cell r="H384">
            <v>42609</v>
          </cell>
          <cell r="I384" t="str">
            <v xml:space="preserve">STANDARD </v>
          </cell>
          <cell r="J384">
            <v>2010003996</v>
          </cell>
          <cell r="K384" t="str">
            <v>SOTARBAHAS HUTABALIAN</v>
          </cell>
          <cell r="L384" t="str">
            <v>SBN</v>
          </cell>
          <cell r="M384">
            <v>2006003896</v>
          </cell>
          <cell r="N384" t="str">
            <v>FAJAR SURYOHADI</v>
          </cell>
          <cell r="O384" t="str">
            <v>FSI</v>
          </cell>
          <cell r="P384" t="str">
            <v>idmTADN@jbr.indomaret.co.id</v>
          </cell>
          <cell r="Q384" t="str">
            <v>KAB. LUMAJANG</v>
          </cell>
          <cell r="R384" t="str">
            <v>SDS</v>
          </cell>
        </row>
        <row r="385">
          <cell r="D385" t="str">
            <v>TEAQ</v>
          </cell>
          <cell r="E385" t="str">
            <v>PURWOSONO</v>
          </cell>
          <cell r="F385" t="str">
            <v>JEMBER</v>
          </cell>
          <cell r="G385" t="str">
            <v>R</v>
          </cell>
          <cell r="H385">
            <v>42704</v>
          </cell>
          <cell r="I385" t="str">
            <v xml:space="preserve">STANDARD </v>
          </cell>
          <cell r="J385">
            <v>2010003996</v>
          </cell>
          <cell r="K385" t="str">
            <v>SOTARBAHAS HUTABALIAN</v>
          </cell>
          <cell r="L385" t="str">
            <v>SBN</v>
          </cell>
          <cell r="M385">
            <v>2006003896</v>
          </cell>
          <cell r="N385" t="str">
            <v>FAJAR SURYOHADI</v>
          </cell>
          <cell r="O385" t="str">
            <v>FSI</v>
          </cell>
          <cell r="P385" t="str">
            <v>idmTEAQ@jbr.indomaret.co.id</v>
          </cell>
          <cell r="Q385" t="str">
            <v>KAB. LUMAJANG</v>
          </cell>
          <cell r="R385" t="str">
            <v>SDS</v>
          </cell>
        </row>
        <row r="386">
          <cell r="D386" t="str">
            <v>TIOO</v>
          </cell>
          <cell r="E386" t="str">
            <v>KANDANG TEPUS</v>
          </cell>
          <cell r="F386" t="str">
            <v>JEMBER</v>
          </cell>
          <cell r="G386" t="str">
            <v>R</v>
          </cell>
          <cell r="H386">
            <v>43399</v>
          </cell>
          <cell r="I386" t="str">
            <v xml:space="preserve">STANDARD </v>
          </cell>
          <cell r="J386">
            <v>2010003996</v>
          </cell>
          <cell r="K386" t="str">
            <v>SOTARBAHAS HUTABALIAN</v>
          </cell>
          <cell r="L386" t="str">
            <v>SBN</v>
          </cell>
          <cell r="M386">
            <v>2006003896</v>
          </cell>
          <cell r="N386" t="str">
            <v>FAJAR SURYOHADI</v>
          </cell>
          <cell r="O386" t="str">
            <v>FSI</v>
          </cell>
          <cell r="P386" t="str">
            <v>idmTIOO@jbr.indomaret.co.id</v>
          </cell>
          <cell r="Q386" t="str">
            <v>KAB. LUMAJANG</v>
          </cell>
          <cell r="R386" t="str">
            <v>SDS</v>
          </cell>
        </row>
        <row r="387">
          <cell r="D387" t="str">
            <v>TLMB</v>
          </cell>
          <cell r="E387" t="str">
            <v>PISANG AGUNG</v>
          </cell>
          <cell r="F387" t="str">
            <v>JEMBER</v>
          </cell>
          <cell r="G387" t="str">
            <v>R</v>
          </cell>
          <cell r="H387">
            <v>42728</v>
          </cell>
          <cell r="I387" t="str">
            <v xml:space="preserve">STANDARD </v>
          </cell>
          <cell r="J387">
            <v>2010003996</v>
          </cell>
          <cell r="K387" t="str">
            <v>SOTARBAHAS HUTABALIAN</v>
          </cell>
          <cell r="L387" t="str">
            <v>SBN</v>
          </cell>
          <cell r="M387">
            <v>2006003896</v>
          </cell>
          <cell r="N387" t="str">
            <v>FAJAR SURYOHADI</v>
          </cell>
          <cell r="O387" t="str">
            <v>FSI</v>
          </cell>
          <cell r="P387" t="str">
            <v>idmTLMB@jbr.indomaret.co.id</v>
          </cell>
          <cell r="Q387" t="str">
            <v>KAB. LUMAJANG</v>
          </cell>
          <cell r="R387" t="str">
            <v>SDS</v>
          </cell>
        </row>
        <row r="388">
          <cell r="D388" t="str">
            <v>TOCI</v>
          </cell>
          <cell r="E388" t="str">
            <v>KEBONSARI SUMBERSUKO</v>
          </cell>
          <cell r="F388" t="str">
            <v>JEMBER</v>
          </cell>
          <cell r="G388" t="str">
            <v>R</v>
          </cell>
          <cell r="H388">
            <v>42643</v>
          </cell>
          <cell r="I388" t="str">
            <v xml:space="preserve">STANDARD </v>
          </cell>
          <cell r="J388">
            <v>2010003996</v>
          </cell>
          <cell r="K388" t="str">
            <v>SOTARBAHAS HUTABALIAN</v>
          </cell>
          <cell r="L388" t="str">
            <v>SBN</v>
          </cell>
          <cell r="M388">
            <v>2006003896</v>
          </cell>
          <cell r="N388" t="str">
            <v>FAJAR SURYOHADI</v>
          </cell>
          <cell r="O388" t="str">
            <v>FSI</v>
          </cell>
          <cell r="P388" t="str">
            <v>idmTOCI@jbr.indomaret.co.id</v>
          </cell>
          <cell r="Q388" t="str">
            <v>KAB. LUMAJANG</v>
          </cell>
          <cell r="R388" t="str">
            <v>SDS</v>
          </cell>
        </row>
        <row r="389">
          <cell r="D389" t="str">
            <v>TRGE</v>
          </cell>
          <cell r="E389" t="str">
            <v>DAWUHAN LOR - LUMAJANG</v>
          </cell>
          <cell r="F389" t="str">
            <v>JEMBER</v>
          </cell>
          <cell r="G389" t="str">
            <v>R</v>
          </cell>
          <cell r="H389">
            <v>43009</v>
          </cell>
          <cell r="I389" t="str">
            <v xml:space="preserve">STANDARD </v>
          </cell>
          <cell r="J389">
            <v>2010003996</v>
          </cell>
          <cell r="K389" t="str">
            <v>SOTARBAHAS HUTABALIAN</v>
          </cell>
          <cell r="L389" t="str">
            <v>SBN</v>
          </cell>
          <cell r="M389">
            <v>2006003896</v>
          </cell>
          <cell r="N389" t="str">
            <v>FAJAR SURYOHADI</v>
          </cell>
          <cell r="O389" t="str">
            <v>FSI</v>
          </cell>
          <cell r="P389" t="str">
            <v>idmTRGE@jbr.indomaret.co.id</v>
          </cell>
          <cell r="Q389" t="str">
            <v>KAB. LUMAJANG</v>
          </cell>
          <cell r="R389" t="str">
            <v>SDS</v>
          </cell>
        </row>
        <row r="390">
          <cell r="D390" t="str">
            <v>TUHN</v>
          </cell>
          <cell r="E390" t="str">
            <v>KUNIR</v>
          </cell>
          <cell r="F390" t="str">
            <v>JEMBER</v>
          </cell>
          <cell r="G390" t="str">
            <v>R</v>
          </cell>
          <cell r="H390">
            <v>39845</v>
          </cell>
          <cell r="I390" t="str">
            <v xml:space="preserve">STANDARD </v>
          </cell>
          <cell r="J390">
            <v>2010003996</v>
          </cell>
          <cell r="K390" t="str">
            <v>SOTARBAHAS HUTABALIAN</v>
          </cell>
          <cell r="L390" t="str">
            <v>SBN</v>
          </cell>
          <cell r="M390">
            <v>2006003896</v>
          </cell>
          <cell r="N390" t="str">
            <v>FAJAR SURYOHADI</v>
          </cell>
          <cell r="O390" t="str">
            <v>FSI</v>
          </cell>
          <cell r="P390" t="str">
            <v>idmTUHN@jbr.indomaret.co.id</v>
          </cell>
          <cell r="Q390" t="str">
            <v>KAB. LUMAJANG</v>
          </cell>
          <cell r="R390" t="str">
            <v>SDS</v>
          </cell>
        </row>
        <row r="391">
          <cell r="D391" t="str">
            <v>TVQE</v>
          </cell>
          <cell r="E391" t="str">
            <v>JATIGONO</v>
          </cell>
          <cell r="F391" t="str">
            <v>JEMBER</v>
          </cell>
          <cell r="G391" t="str">
            <v>R</v>
          </cell>
          <cell r="H391">
            <v>43399</v>
          </cell>
          <cell r="I391" t="str">
            <v xml:space="preserve">STANDARD </v>
          </cell>
          <cell r="J391">
            <v>2010003996</v>
          </cell>
          <cell r="K391" t="str">
            <v>SOTARBAHAS HUTABALIAN</v>
          </cell>
          <cell r="L391" t="str">
            <v>SBN</v>
          </cell>
          <cell r="M391">
            <v>2006003896</v>
          </cell>
          <cell r="N391" t="str">
            <v>FAJAR SURYOHADI</v>
          </cell>
          <cell r="O391" t="str">
            <v>FSI</v>
          </cell>
          <cell r="P391" t="str">
            <v>idmTVQE@jbr.indomaret.co.id</v>
          </cell>
          <cell r="Q391" t="str">
            <v>KAB. LUMAJANG</v>
          </cell>
          <cell r="R391" t="str">
            <v>SDS</v>
          </cell>
        </row>
        <row r="392">
          <cell r="D392" t="str">
            <v>F24R</v>
          </cell>
          <cell r="E392" t="str">
            <v>LECES PROBOLINGGO</v>
          </cell>
          <cell r="F392" t="str">
            <v>JEMBER</v>
          </cell>
          <cell r="G392" t="str">
            <v>F</v>
          </cell>
          <cell r="H392">
            <v>44774</v>
          </cell>
          <cell r="I392" t="str">
            <v xml:space="preserve">STANDARD </v>
          </cell>
          <cell r="J392">
            <v>2010003996</v>
          </cell>
          <cell r="K392" t="str">
            <v>SOTARBAHAS HUTABALIAN</v>
          </cell>
          <cell r="L392" t="str">
            <v>SBN</v>
          </cell>
          <cell r="M392">
            <v>2008420232</v>
          </cell>
          <cell r="N392" t="str">
            <v>RISKI FERI FRIANDOKO</v>
          </cell>
          <cell r="O392" t="str">
            <v>RFO</v>
          </cell>
          <cell r="P392" t="str">
            <v>idF24R@jbr.indomaret.co.id</v>
          </cell>
          <cell r="Q392" t="str">
            <v>KAB. PROBOLINGGO</v>
          </cell>
          <cell r="R392" t="str">
            <v>SDS</v>
          </cell>
        </row>
        <row r="393">
          <cell r="D393" t="str">
            <v>FNBF</v>
          </cell>
          <cell r="E393" t="str">
            <v>LETJEN SUTOYO -  LUMAJANG</v>
          </cell>
          <cell r="F393" t="str">
            <v>JEMBER</v>
          </cell>
          <cell r="G393" t="str">
            <v>F</v>
          </cell>
          <cell r="H393">
            <v>45352</v>
          </cell>
          <cell r="I393" t="str">
            <v xml:space="preserve">STANDARD </v>
          </cell>
          <cell r="J393">
            <v>2010003996</v>
          </cell>
          <cell r="K393" t="str">
            <v>SOTARBAHAS HUTABALIAN</v>
          </cell>
          <cell r="L393" t="str">
            <v>SBN</v>
          </cell>
          <cell r="M393">
            <v>2008420232</v>
          </cell>
          <cell r="N393" t="str">
            <v>RISKI FERI FRIANDOKO</v>
          </cell>
          <cell r="O393" t="str">
            <v>RFO</v>
          </cell>
          <cell r="P393" t="str">
            <v>idFNBF@jbr.indomaret.co.id</v>
          </cell>
          <cell r="Q393" t="str">
            <v>KAB. LUMAJANG</v>
          </cell>
          <cell r="R393" t="str">
            <v>SDS</v>
          </cell>
        </row>
        <row r="394">
          <cell r="D394" t="str">
            <v>FNFM</v>
          </cell>
          <cell r="E394" t="str">
            <v>LECES 2 - PROBOLINGGO</v>
          </cell>
          <cell r="F394" t="str">
            <v>JEMBER</v>
          </cell>
          <cell r="G394" t="str">
            <v>F</v>
          </cell>
          <cell r="H394">
            <v>44713</v>
          </cell>
          <cell r="I394" t="str">
            <v xml:space="preserve">STANDARD </v>
          </cell>
          <cell r="J394">
            <v>2010003996</v>
          </cell>
          <cell r="K394" t="str">
            <v>SOTARBAHAS HUTABALIAN</v>
          </cell>
          <cell r="L394" t="str">
            <v>SBN</v>
          </cell>
          <cell r="M394">
            <v>2008420232</v>
          </cell>
          <cell r="N394" t="str">
            <v>RISKI FERI FRIANDOKO</v>
          </cell>
          <cell r="O394" t="str">
            <v>RFO</v>
          </cell>
          <cell r="P394" t="str">
            <v>idFNFM@jbr.indomaret.co.id</v>
          </cell>
          <cell r="Q394" t="str">
            <v>KAB. PROBOLINGGO</v>
          </cell>
          <cell r="R394" t="str">
            <v>SDS</v>
          </cell>
        </row>
        <row r="395">
          <cell r="D395" t="str">
            <v>FZQ1</v>
          </cell>
          <cell r="E395" t="str">
            <v>WONOREJO</v>
          </cell>
          <cell r="F395" t="str">
            <v>JEMBER</v>
          </cell>
          <cell r="G395" t="str">
            <v>F</v>
          </cell>
          <cell r="H395">
            <v>44287</v>
          </cell>
          <cell r="I395" t="str">
            <v xml:space="preserve">STANDARD </v>
          </cell>
          <cell r="J395">
            <v>2010003996</v>
          </cell>
          <cell r="K395" t="str">
            <v>SOTARBAHAS HUTABALIAN</v>
          </cell>
          <cell r="L395" t="str">
            <v>SBN</v>
          </cell>
          <cell r="M395">
            <v>2008420232</v>
          </cell>
          <cell r="N395" t="str">
            <v>RISKI FERI FRIANDOKO</v>
          </cell>
          <cell r="O395" t="str">
            <v>RFO</v>
          </cell>
          <cell r="P395" t="str">
            <v>idFZQ1@jbr.indomaret.co.id</v>
          </cell>
          <cell r="Q395" t="str">
            <v>KAB. LUMAJANG</v>
          </cell>
          <cell r="R395" t="str">
            <v>SDS</v>
          </cell>
        </row>
        <row r="396">
          <cell r="D396" t="str">
            <v>T13W</v>
          </cell>
          <cell r="E396" t="str">
            <v>RAYA LECES KM 13</v>
          </cell>
          <cell r="F396" t="str">
            <v>JEMBER</v>
          </cell>
          <cell r="G396" t="str">
            <v>R</v>
          </cell>
          <cell r="H396">
            <v>45076</v>
          </cell>
          <cell r="I396" t="str">
            <v xml:space="preserve">STANDARD </v>
          </cell>
          <cell r="J396">
            <v>2010003996</v>
          </cell>
          <cell r="K396" t="str">
            <v>SOTARBAHAS HUTABALIAN</v>
          </cell>
          <cell r="L396" t="str">
            <v>SBN</v>
          </cell>
          <cell r="M396">
            <v>2008420232</v>
          </cell>
          <cell r="N396" t="str">
            <v>RISKI FERI FRIANDOKO</v>
          </cell>
          <cell r="O396" t="str">
            <v>RFO</v>
          </cell>
          <cell r="P396" t="str">
            <v>idmT13W@jbr.indomaret.co.id</v>
          </cell>
          <cell r="Q396" t="str">
            <v>KAB. PROBOLINGGO</v>
          </cell>
          <cell r="R396" t="str">
            <v>SDS</v>
          </cell>
        </row>
        <row r="397">
          <cell r="D397" t="str">
            <v>TBEK</v>
          </cell>
          <cell r="E397" t="str">
            <v>RANUYOSO  -  LUMAJANG</v>
          </cell>
          <cell r="F397" t="str">
            <v>JEMBER</v>
          </cell>
          <cell r="G397" t="str">
            <v>R</v>
          </cell>
          <cell r="H397">
            <v>44621</v>
          </cell>
          <cell r="I397" t="str">
            <v xml:space="preserve">STANDARD </v>
          </cell>
          <cell r="J397">
            <v>2010003996</v>
          </cell>
          <cell r="K397" t="str">
            <v>SOTARBAHAS HUTABALIAN</v>
          </cell>
          <cell r="L397" t="str">
            <v>SBN</v>
          </cell>
          <cell r="M397">
            <v>2008420232</v>
          </cell>
          <cell r="N397" t="str">
            <v>RISKI FERI FRIANDOKO</v>
          </cell>
          <cell r="O397" t="str">
            <v>RFO</v>
          </cell>
          <cell r="P397" t="str">
            <v>idmTBEK@jbr.indomaret.co.id</v>
          </cell>
          <cell r="Q397" t="str">
            <v>KAB. LUMAJANG</v>
          </cell>
          <cell r="R397" t="str">
            <v>SDS</v>
          </cell>
        </row>
        <row r="398">
          <cell r="D398" t="str">
            <v>TBJI</v>
          </cell>
          <cell r="E398" t="str">
            <v>SPBU PROBOLINGGO KM 19</v>
          </cell>
          <cell r="F398" t="str">
            <v>JEMBER</v>
          </cell>
          <cell r="G398" t="str">
            <v>R</v>
          </cell>
          <cell r="H398">
            <v>42838</v>
          </cell>
          <cell r="I398" t="str">
            <v xml:space="preserve">STANDARD </v>
          </cell>
          <cell r="J398">
            <v>2010003996</v>
          </cell>
          <cell r="K398" t="str">
            <v>SOTARBAHAS HUTABALIAN</v>
          </cell>
          <cell r="L398" t="str">
            <v>SBN</v>
          </cell>
          <cell r="M398">
            <v>2008420232</v>
          </cell>
          <cell r="N398" t="str">
            <v>RISKI FERI FRIANDOKO</v>
          </cell>
          <cell r="O398" t="str">
            <v>RFO</v>
          </cell>
          <cell r="P398" t="str">
            <v>idmTBJI@jbr.indomaret.co.id</v>
          </cell>
          <cell r="Q398" t="str">
            <v>KAB. PROBOLINGGO</v>
          </cell>
          <cell r="R398" t="str">
            <v>SDS</v>
          </cell>
        </row>
        <row r="399">
          <cell r="D399" t="str">
            <v>TCQW</v>
          </cell>
          <cell r="E399" t="str">
            <v>POINT REST AREA KM 833 B - PBO</v>
          </cell>
          <cell r="F399" t="str">
            <v>JEMBER</v>
          </cell>
          <cell r="G399" t="str">
            <v>R</v>
          </cell>
          <cell r="H399">
            <v>43616</v>
          </cell>
          <cell r="I399" t="str">
            <v>MATRIX CONVINIENCE KHUSUS</v>
          </cell>
          <cell r="J399">
            <v>2010003996</v>
          </cell>
          <cell r="K399" t="str">
            <v>SOTARBAHAS HUTABALIAN</v>
          </cell>
          <cell r="L399" t="str">
            <v>SBN</v>
          </cell>
          <cell r="M399">
            <v>2008420232</v>
          </cell>
          <cell r="N399" t="str">
            <v>RISKI FERI FRIANDOKO</v>
          </cell>
          <cell r="O399" t="str">
            <v>RFO</v>
          </cell>
          <cell r="P399" t="str">
            <v>idmTCQW@jbr.indomaret.co.id</v>
          </cell>
          <cell r="Q399" t="str">
            <v>KAB. PROBOLINGGO</v>
          </cell>
          <cell r="R399" t="str">
            <v>MCK</v>
          </cell>
        </row>
        <row r="400">
          <cell r="D400" t="str">
            <v>TGTG</v>
          </cell>
          <cell r="E400" t="str">
            <v>SOEKARNO HATTA</v>
          </cell>
          <cell r="F400" t="str">
            <v>JEMBER</v>
          </cell>
          <cell r="G400" t="str">
            <v>R</v>
          </cell>
          <cell r="H400">
            <v>45617</v>
          </cell>
          <cell r="I400" t="str">
            <v xml:space="preserve">STANDARD </v>
          </cell>
          <cell r="J400">
            <v>2010003996</v>
          </cell>
          <cell r="K400" t="str">
            <v>SOTARBAHAS HUTABALIAN</v>
          </cell>
          <cell r="L400" t="str">
            <v>SBN</v>
          </cell>
          <cell r="M400">
            <v>2008420232</v>
          </cell>
          <cell r="N400" t="str">
            <v>RISKI FERI FRIANDOKO</v>
          </cell>
          <cell r="O400" t="str">
            <v>RFO</v>
          </cell>
          <cell r="P400" t="str">
            <v>idmTGTG@jbr.indomaret.co.id</v>
          </cell>
          <cell r="Q400" t="str">
            <v>KAB. LUMAJANG</v>
          </cell>
          <cell r="R400" t="str">
            <v>SDS</v>
          </cell>
        </row>
        <row r="401">
          <cell r="D401" t="str">
            <v>TKJU</v>
          </cell>
          <cell r="E401" t="str">
            <v>TEGALSIWALAN</v>
          </cell>
          <cell r="F401" t="str">
            <v>JEMBER</v>
          </cell>
          <cell r="G401" t="str">
            <v>R</v>
          </cell>
          <cell r="H401">
            <v>43928</v>
          </cell>
          <cell r="I401" t="str">
            <v xml:space="preserve">STANDARD </v>
          </cell>
          <cell r="J401">
            <v>2010003996</v>
          </cell>
          <cell r="K401" t="str">
            <v>SOTARBAHAS HUTABALIAN</v>
          </cell>
          <cell r="L401" t="str">
            <v>SBN</v>
          </cell>
          <cell r="M401">
            <v>2008420232</v>
          </cell>
          <cell r="N401" t="str">
            <v>RISKI FERI FRIANDOKO</v>
          </cell>
          <cell r="O401" t="str">
            <v>RFO</v>
          </cell>
          <cell r="P401" t="str">
            <v>idmTKJU@jbr.indomaret.co.id</v>
          </cell>
          <cell r="Q401" t="str">
            <v>KAB. PROBOLINGGO</v>
          </cell>
          <cell r="R401" t="str">
            <v>SDS</v>
          </cell>
        </row>
        <row r="402">
          <cell r="D402" t="str">
            <v>TNOL</v>
          </cell>
          <cell r="E402" t="str">
            <v>HOS COKROAMINOTO</v>
          </cell>
          <cell r="F402" t="str">
            <v>JEMBER</v>
          </cell>
          <cell r="G402" t="str">
            <v>R</v>
          </cell>
          <cell r="H402">
            <v>44053</v>
          </cell>
          <cell r="I402" t="str">
            <v xml:space="preserve">STANDARD </v>
          </cell>
          <cell r="J402">
            <v>2010003996</v>
          </cell>
          <cell r="K402" t="str">
            <v>SOTARBAHAS HUTABALIAN</v>
          </cell>
          <cell r="L402" t="str">
            <v>SBN</v>
          </cell>
          <cell r="M402">
            <v>2008420232</v>
          </cell>
          <cell r="N402" t="str">
            <v>RISKI FERI FRIANDOKO</v>
          </cell>
          <cell r="O402" t="str">
            <v>RFO</v>
          </cell>
          <cell r="P402" t="str">
            <v>idmTNOL@jbr.indomaret.co.id</v>
          </cell>
          <cell r="Q402" t="str">
            <v>KAB. LUMAJANG</v>
          </cell>
          <cell r="R402" t="str">
            <v>SDS</v>
          </cell>
        </row>
        <row r="403">
          <cell r="D403" t="str">
            <v>TR0U</v>
          </cell>
          <cell r="E403" t="str">
            <v>KAPTEN KYAI ILYAS</v>
          </cell>
          <cell r="F403" t="str">
            <v>JEMBER</v>
          </cell>
          <cell r="G403" t="str">
            <v>R</v>
          </cell>
          <cell r="H403">
            <v>46052</v>
          </cell>
          <cell r="I403" t="str">
            <v>STANDARD NEW</v>
          </cell>
          <cell r="J403">
            <v>2010003996</v>
          </cell>
          <cell r="K403" t="str">
            <v>SOTARBAHAS HUTABALIAN</v>
          </cell>
          <cell r="L403" t="str">
            <v>SBN</v>
          </cell>
          <cell r="M403">
            <v>2008420232</v>
          </cell>
          <cell r="N403" t="str">
            <v>RISKI FERI FRIANDOKO</v>
          </cell>
          <cell r="O403" t="str">
            <v>RFO</v>
          </cell>
          <cell r="P403" t="str">
            <v>idmTR0U@jbr.indomaret.co.id</v>
          </cell>
          <cell r="Q403" t="str">
            <v>KAB. LUMAJANG</v>
          </cell>
          <cell r="R403" t="str">
            <v>SDN</v>
          </cell>
        </row>
        <row r="404">
          <cell r="D404" t="str">
            <v>TWYL</v>
          </cell>
          <cell r="E404" t="str">
            <v>SUMBERKEDAWUNG LECES</v>
          </cell>
          <cell r="F404" t="str">
            <v>JEMBER</v>
          </cell>
          <cell r="G404" t="str">
            <v>R</v>
          </cell>
          <cell r="H404">
            <v>43438</v>
          </cell>
          <cell r="I404" t="str">
            <v>STANDARD NEW</v>
          </cell>
          <cell r="J404">
            <v>2010003996</v>
          </cell>
          <cell r="K404" t="str">
            <v>SOTARBAHAS HUTABALIAN</v>
          </cell>
          <cell r="L404" t="str">
            <v>SBN</v>
          </cell>
          <cell r="M404">
            <v>2008420232</v>
          </cell>
          <cell r="N404" t="str">
            <v>RISKI FERI FRIANDOKO</v>
          </cell>
          <cell r="O404" t="str">
            <v>RFO</v>
          </cell>
          <cell r="P404" t="str">
            <v>idmTWYL@jbr.indomaret.co.id</v>
          </cell>
          <cell r="Q404" t="str">
            <v>KAB. PROBOLINGGO</v>
          </cell>
          <cell r="R404" t="str">
            <v>SDN</v>
          </cell>
        </row>
        <row r="405">
          <cell r="D405" t="str">
            <v>FAZ3</v>
          </cell>
          <cell r="E405" t="str">
            <v>TEMPEH - LUMAJANG</v>
          </cell>
          <cell r="F405" t="str">
            <v>JEMBER</v>
          </cell>
          <cell r="G405" t="str">
            <v>F</v>
          </cell>
          <cell r="H405">
            <v>44378</v>
          </cell>
          <cell r="I405" t="str">
            <v xml:space="preserve">STANDARD </v>
          </cell>
          <cell r="J405">
            <v>2010003996</v>
          </cell>
          <cell r="K405" t="str">
            <v>SOTARBAHAS HUTABALIAN</v>
          </cell>
          <cell r="L405" t="str">
            <v>SBN</v>
          </cell>
          <cell r="M405">
            <v>2008420265</v>
          </cell>
          <cell r="N405" t="str">
            <v>RISCA RISTIYANINGSIH</v>
          </cell>
          <cell r="O405" t="str">
            <v>RRH</v>
          </cell>
          <cell r="P405" t="str">
            <v>idFAZ3@jbr.indomaret.co.id</v>
          </cell>
          <cell r="Q405" t="str">
            <v>KAB. LUMAJANG</v>
          </cell>
          <cell r="R405" t="str">
            <v>SDS</v>
          </cell>
        </row>
        <row r="406">
          <cell r="D406" t="str">
            <v>FM8A</v>
          </cell>
          <cell r="E406" t="str">
            <v>JOKARTO</v>
          </cell>
          <cell r="F406" t="str">
            <v>JEMBER</v>
          </cell>
          <cell r="G406" t="str">
            <v>F</v>
          </cell>
          <cell r="H406">
            <v>46116</v>
          </cell>
          <cell r="I406" t="str">
            <v>STANDARD NEW</v>
          </cell>
          <cell r="J406">
            <v>2010003996</v>
          </cell>
          <cell r="K406" t="str">
            <v>SOTARBAHAS HUTABALIAN</v>
          </cell>
          <cell r="L406" t="str">
            <v>SBN</v>
          </cell>
          <cell r="M406">
            <v>2008420265</v>
          </cell>
          <cell r="N406" t="str">
            <v>RISCA RISTIYANINGSIH</v>
          </cell>
          <cell r="O406" t="str">
            <v>RRH</v>
          </cell>
          <cell r="P406" t="str">
            <v>idFM8A@jbr.indomaret.co.id</v>
          </cell>
          <cell r="Q406" t="str">
            <v>KAB. LUMAJANG</v>
          </cell>
          <cell r="R406" t="str">
            <v>SDN</v>
          </cell>
        </row>
        <row r="407">
          <cell r="D407" t="str">
            <v>FQ91</v>
          </cell>
          <cell r="E407" t="str">
            <v>CANDIPURO</v>
          </cell>
          <cell r="F407" t="str">
            <v>JEMBER</v>
          </cell>
          <cell r="G407" t="str">
            <v>F</v>
          </cell>
          <cell r="H407">
            <v>44256</v>
          </cell>
          <cell r="I407" t="str">
            <v xml:space="preserve">STANDARD </v>
          </cell>
          <cell r="J407">
            <v>2010003996</v>
          </cell>
          <cell r="K407" t="str">
            <v>SOTARBAHAS HUTABALIAN</v>
          </cell>
          <cell r="L407" t="str">
            <v>SBN</v>
          </cell>
          <cell r="M407">
            <v>2008420265</v>
          </cell>
          <cell r="N407" t="str">
            <v>RISCA RISTIYANINGSIH</v>
          </cell>
          <cell r="O407" t="str">
            <v>RRH</v>
          </cell>
          <cell r="P407" t="str">
            <v>idFQ91@jbr.indomaret.co.id</v>
          </cell>
          <cell r="Q407" t="str">
            <v>KAB. LUMAJANG</v>
          </cell>
          <cell r="R407" t="str">
            <v>SDS</v>
          </cell>
        </row>
        <row r="408">
          <cell r="D408" t="str">
            <v>T1WE</v>
          </cell>
          <cell r="E408" t="str">
            <v>PENANGGAL</v>
          </cell>
          <cell r="F408" t="str">
            <v>JEMBER</v>
          </cell>
          <cell r="G408" t="str">
            <v>R</v>
          </cell>
          <cell r="H408">
            <v>45929</v>
          </cell>
          <cell r="I408" t="str">
            <v xml:space="preserve">STANDARD </v>
          </cell>
          <cell r="J408">
            <v>2010003996</v>
          </cell>
          <cell r="K408" t="str">
            <v>SOTARBAHAS HUTABALIAN</v>
          </cell>
          <cell r="L408" t="str">
            <v>SBN</v>
          </cell>
          <cell r="M408">
            <v>2008420265</v>
          </cell>
          <cell r="N408" t="str">
            <v>RISCA RISTIYANINGSIH</v>
          </cell>
          <cell r="O408" t="str">
            <v>RRH</v>
          </cell>
          <cell r="P408" t="str">
            <v>idmT1WE@jbr.indomaret.co.id</v>
          </cell>
          <cell r="Q408" t="str">
            <v>KAB. LUMAJANG</v>
          </cell>
          <cell r="R408" t="str">
            <v>SDS</v>
          </cell>
        </row>
        <row r="409">
          <cell r="D409" t="str">
            <v>TAHL</v>
          </cell>
          <cell r="E409" t="str">
            <v>PASIRIAN 252</v>
          </cell>
          <cell r="F409" t="str">
            <v>JEMBER</v>
          </cell>
          <cell r="G409" t="str">
            <v>R</v>
          </cell>
          <cell r="H409">
            <v>43241</v>
          </cell>
          <cell r="I409" t="str">
            <v xml:space="preserve">STANDARD </v>
          </cell>
          <cell r="J409">
            <v>2010003996</v>
          </cell>
          <cell r="K409" t="str">
            <v>SOTARBAHAS HUTABALIAN</v>
          </cell>
          <cell r="L409" t="str">
            <v>SBN</v>
          </cell>
          <cell r="M409">
            <v>2008420265</v>
          </cell>
          <cell r="N409" t="str">
            <v>RISCA RISTIYANINGSIH</v>
          </cell>
          <cell r="O409" t="str">
            <v>RRH</v>
          </cell>
          <cell r="P409" t="str">
            <v>idmTAHL@jbr.indomaret.co.id</v>
          </cell>
          <cell r="Q409" t="str">
            <v>KAB. LUMAJANG</v>
          </cell>
          <cell r="R409" t="str">
            <v>SDS</v>
          </cell>
        </row>
        <row r="410">
          <cell r="D410" t="str">
            <v>TBZM</v>
          </cell>
          <cell r="E410" t="str">
            <v>PB SUDIRMAN JARIT</v>
          </cell>
          <cell r="F410" t="str">
            <v>JEMBER</v>
          </cell>
          <cell r="G410" t="str">
            <v>R</v>
          </cell>
          <cell r="H410">
            <v>42612</v>
          </cell>
          <cell r="I410" t="str">
            <v xml:space="preserve">STANDARD </v>
          </cell>
          <cell r="J410">
            <v>2010003996</v>
          </cell>
          <cell r="K410" t="str">
            <v>SOTARBAHAS HUTABALIAN</v>
          </cell>
          <cell r="L410" t="str">
            <v>SBN</v>
          </cell>
          <cell r="M410">
            <v>2008420265</v>
          </cell>
          <cell r="N410" t="str">
            <v>RISCA RISTIYANINGSIH</v>
          </cell>
          <cell r="O410" t="str">
            <v>RRH</v>
          </cell>
          <cell r="P410" t="str">
            <v>idmTBZM@jbr.indomaret.co.id</v>
          </cell>
          <cell r="Q410" t="str">
            <v>KAB. LUMAJANG</v>
          </cell>
          <cell r="R410" t="str">
            <v>SDS</v>
          </cell>
        </row>
        <row r="411">
          <cell r="D411" t="str">
            <v>TCAM</v>
          </cell>
          <cell r="E411" t="str">
            <v>KEDUNG PAKIS PASIRIAN</v>
          </cell>
          <cell r="F411" t="str">
            <v>JEMBER</v>
          </cell>
          <cell r="G411" t="str">
            <v>R</v>
          </cell>
          <cell r="H411">
            <v>42643</v>
          </cell>
          <cell r="I411" t="str">
            <v xml:space="preserve">STANDARD </v>
          </cell>
          <cell r="J411">
            <v>2010003996</v>
          </cell>
          <cell r="K411" t="str">
            <v>SOTARBAHAS HUTABALIAN</v>
          </cell>
          <cell r="L411" t="str">
            <v>SBN</v>
          </cell>
          <cell r="M411">
            <v>2008420265</v>
          </cell>
          <cell r="N411" t="str">
            <v>RISCA RISTIYANINGSIH</v>
          </cell>
          <cell r="O411" t="str">
            <v>RRH</v>
          </cell>
          <cell r="P411" t="str">
            <v>idmTCAM@jbr.indomaret.co.id</v>
          </cell>
          <cell r="Q411" t="str">
            <v>KAB. LUMAJANG</v>
          </cell>
          <cell r="R411" t="str">
            <v>SDS</v>
          </cell>
        </row>
        <row r="412">
          <cell r="D412" t="str">
            <v>TEAY</v>
          </cell>
          <cell r="E412" t="str">
            <v>PULO - LUMAJANG</v>
          </cell>
          <cell r="F412" t="str">
            <v>JEMBER</v>
          </cell>
          <cell r="G412" t="str">
            <v>R</v>
          </cell>
          <cell r="H412">
            <v>44682</v>
          </cell>
          <cell r="I412" t="str">
            <v>STANDARD NEW</v>
          </cell>
          <cell r="J412">
            <v>2010003996</v>
          </cell>
          <cell r="K412" t="str">
            <v>SOTARBAHAS HUTABALIAN</v>
          </cell>
          <cell r="L412" t="str">
            <v>SBN</v>
          </cell>
          <cell r="M412">
            <v>2008420265</v>
          </cell>
          <cell r="N412" t="str">
            <v>RISCA RISTIYANINGSIH</v>
          </cell>
          <cell r="O412" t="str">
            <v>RRH</v>
          </cell>
          <cell r="P412" t="str">
            <v>idmTEAY@jbr.indomaret.co.id</v>
          </cell>
          <cell r="Q412" t="str">
            <v>KAB. LUMAJANG</v>
          </cell>
          <cell r="R412" t="str">
            <v>SDN</v>
          </cell>
        </row>
        <row r="413">
          <cell r="D413" t="str">
            <v>TEPG</v>
          </cell>
          <cell r="E413" t="str">
            <v>CONDRO PASIRIAN</v>
          </cell>
          <cell r="F413" t="str">
            <v>JEMBER</v>
          </cell>
          <cell r="G413" t="str">
            <v>R</v>
          </cell>
          <cell r="H413">
            <v>42606</v>
          </cell>
          <cell r="I413" t="str">
            <v xml:space="preserve">STANDARD </v>
          </cell>
          <cell r="J413">
            <v>2010003996</v>
          </cell>
          <cell r="K413" t="str">
            <v>SOTARBAHAS HUTABALIAN</v>
          </cell>
          <cell r="L413" t="str">
            <v>SBN</v>
          </cell>
          <cell r="M413">
            <v>2008420265</v>
          </cell>
          <cell r="N413" t="str">
            <v>RISCA RISTIYANINGSIH</v>
          </cell>
          <cell r="O413" t="str">
            <v>RRH</v>
          </cell>
          <cell r="P413" t="str">
            <v>idmTEPG@jbr.indomaret.co.id</v>
          </cell>
          <cell r="Q413" t="str">
            <v>KAB. LUMAJANG</v>
          </cell>
          <cell r="R413" t="str">
            <v>SDS</v>
          </cell>
        </row>
        <row r="414">
          <cell r="D414" t="str">
            <v>TKOW</v>
          </cell>
          <cell r="E414" t="str">
            <v>PASIRIAN</v>
          </cell>
          <cell r="F414" t="str">
            <v>JEMBER</v>
          </cell>
          <cell r="G414" t="str">
            <v>R</v>
          </cell>
          <cell r="H414">
            <v>44501</v>
          </cell>
          <cell r="I414" t="str">
            <v xml:space="preserve">STANDARD </v>
          </cell>
          <cell r="J414">
            <v>2010003996</v>
          </cell>
          <cell r="K414" t="str">
            <v>SOTARBAHAS HUTABALIAN</v>
          </cell>
          <cell r="L414" t="str">
            <v>SBN</v>
          </cell>
          <cell r="M414">
            <v>2008420265</v>
          </cell>
          <cell r="N414" t="str">
            <v>RISCA RISTIYANINGSIH</v>
          </cell>
          <cell r="O414" t="str">
            <v>RRH</v>
          </cell>
          <cell r="P414" t="str">
            <v>idmTKOW@jbr.indomaret.co.id</v>
          </cell>
          <cell r="Q414" t="str">
            <v>KAB. LUMAJANG</v>
          </cell>
          <cell r="R414" t="str">
            <v>SDS</v>
          </cell>
        </row>
        <row r="415">
          <cell r="D415" t="str">
            <v>TLYJ</v>
          </cell>
          <cell r="E415" t="str">
            <v>SELOK AWAR - AWAR</v>
          </cell>
          <cell r="F415" t="str">
            <v>JEMBER</v>
          </cell>
          <cell r="G415" t="str">
            <v>R</v>
          </cell>
          <cell r="H415">
            <v>43141</v>
          </cell>
          <cell r="I415" t="str">
            <v xml:space="preserve">STANDARD </v>
          </cell>
          <cell r="J415">
            <v>2010003996</v>
          </cell>
          <cell r="K415" t="str">
            <v>SOTARBAHAS HUTABALIAN</v>
          </cell>
          <cell r="L415" t="str">
            <v>SBN</v>
          </cell>
          <cell r="M415">
            <v>2008420265</v>
          </cell>
          <cell r="N415" t="str">
            <v>RISCA RISTIYANINGSIH</v>
          </cell>
          <cell r="O415" t="str">
            <v>RRH</v>
          </cell>
          <cell r="P415" t="str">
            <v>idmTLYJ@jbr.indomaret.co.id</v>
          </cell>
          <cell r="Q415" t="str">
            <v>KAB. LUMAJANG</v>
          </cell>
          <cell r="R415" t="str">
            <v>SDS</v>
          </cell>
        </row>
        <row r="416">
          <cell r="D416" t="str">
            <v>TPOG</v>
          </cell>
          <cell r="E416" t="str">
            <v>TEMPEH KM 7</v>
          </cell>
          <cell r="F416" t="str">
            <v>JEMBER</v>
          </cell>
          <cell r="G416" t="str">
            <v>R</v>
          </cell>
          <cell r="H416">
            <v>42674</v>
          </cell>
          <cell r="I416" t="str">
            <v xml:space="preserve">STANDARD </v>
          </cell>
          <cell r="J416">
            <v>2010003996</v>
          </cell>
          <cell r="K416" t="str">
            <v>SOTARBAHAS HUTABALIAN</v>
          </cell>
          <cell r="L416" t="str">
            <v>SBN</v>
          </cell>
          <cell r="M416">
            <v>2008420265</v>
          </cell>
          <cell r="N416" t="str">
            <v>RISCA RISTIYANINGSIH</v>
          </cell>
          <cell r="O416" t="str">
            <v>RRH</v>
          </cell>
          <cell r="P416" t="str">
            <v>idmTPOG@jbr.indomaret.co.id</v>
          </cell>
          <cell r="Q416" t="str">
            <v>KAB. LUMAJANG</v>
          </cell>
          <cell r="R416" t="str">
            <v>SDS</v>
          </cell>
        </row>
        <row r="417">
          <cell r="D417" t="str">
            <v>TRXA</v>
          </cell>
          <cell r="E417" t="str">
            <v>TEMPEH LOR</v>
          </cell>
          <cell r="F417" t="str">
            <v>JEMBER</v>
          </cell>
          <cell r="G417" t="str">
            <v>R</v>
          </cell>
          <cell r="H417">
            <v>42702</v>
          </cell>
          <cell r="I417" t="str">
            <v xml:space="preserve">STANDARD </v>
          </cell>
          <cell r="J417">
            <v>2010003996</v>
          </cell>
          <cell r="K417" t="str">
            <v>SOTARBAHAS HUTABALIAN</v>
          </cell>
          <cell r="L417" t="str">
            <v>SBN</v>
          </cell>
          <cell r="M417">
            <v>2008420265</v>
          </cell>
          <cell r="N417" t="str">
            <v>RISCA RISTIYANINGSIH</v>
          </cell>
          <cell r="O417" t="str">
            <v>RRH</v>
          </cell>
          <cell r="P417" t="str">
            <v>idmTRXA@jbr.indomaret.co.id</v>
          </cell>
          <cell r="Q417" t="str">
            <v>KAB. LUMAJANG</v>
          </cell>
          <cell r="R417" t="str">
            <v>SDS</v>
          </cell>
        </row>
        <row r="418">
          <cell r="D418" t="str">
            <v>TUNT</v>
          </cell>
          <cell r="E418" t="str">
            <v>PB SUDIRMAN TEMPEH</v>
          </cell>
          <cell r="F418" t="str">
            <v>JEMBER</v>
          </cell>
          <cell r="G418" t="str">
            <v>R</v>
          </cell>
          <cell r="H418">
            <v>42606</v>
          </cell>
          <cell r="I418" t="str">
            <v xml:space="preserve">STANDARD </v>
          </cell>
          <cell r="J418">
            <v>2010003996</v>
          </cell>
          <cell r="K418" t="str">
            <v>SOTARBAHAS HUTABALIAN</v>
          </cell>
          <cell r="L418" t="str">
            <v>SBN</v>
          </cell>
          <cell r="M418">
            <v>2008420265</v>
          </cell>
          <cell r="N418" t="str">
            <v>RISCA RISTIYANINGSIH</v>
          </cell>
          <cell r="O418" t="str">
            <v>RRH</v>
          </cell>
          <cell r="P418" t="str">
            <v>idmTUNT@jbr.indomaret.co.id</v>
          </cell>
          <cell r="Q418" t="str">
            <v>KAB. LUMAJANG</v>
          </cell>
          <cell r="R418" t="str">
            <v>SDS</v>
          </cell>
        </row>
        <row r="419">
          <cell r="D419" t="str">
            <v>F3LA</v>
          </cell>
          <cell r="E419" t="str">
            <v>RAYA WONOREJO</v>
          </cell>
          <cell r="F419" t="str">
            <v>JEMBER</v>
          </cell>
          <cell r="G419" t="str">
            <v>F</v>
          </cell>
          <cell r="H419">
            <v>46171</v>
          </cell>
          <cell r="I419" t="str">
            <v>STANDARD NEW</v>
          </cell>
          <cell r="J419">
            <v>2010003996</v>
          </cell>
          <cell r="K419" t="str">
            <v>SOTARBAHAS HUTABALIAN</v>
          </cell>
          <cell r="L419" t="str">
            <v>SBN</v>
          </cell>
          <cell r="M419">
            <v>2008890327</v>
          </cell>
          <cell r="N419" t="str">
            <v>TOHIR</v>
          </cell>
          <cell r="O419" t="str">
            <v>THR</v>
          </cell>
          <cell r="P419" t="str">
            <v>idF3LA@jbr.indomaret.co.id</v>
          </cell>
          <cell r="Q419" t="str">
            <v>KAB. LUMAJANG</v>
          </cell>
          <cell r="R419" t="str">
            <v>SDN</v>
          </cell>
        </row>
        <row r="420">
          <cell r="D420" t="str">
            <v>FAIP</v>
          </cell>
          <cell r="E420" t="str">
            <v>SOEKARNO HATTA 8B</v>
          </cell>
          <cell r="F420" t="str">
            <v>JEMBER</v>
          </cell>
          <cell r="G420" t="str">
            <v>F</v>
          </cell>
          <cell r="H420">
            <v>45958</v>
          </cell>
          <cell r="I420" t="str">
            <v xml:space="preserve">STANDARD </v>
          </cell>
          <cell r="J420">
            <v>2010003996</v>
          </cell>
          <cell r="K420" t="str">
            <v>SOTARBAHAS HUTABALIAN</v>
          </cell>
          <cell r="L420" t="str">
            <v>SBN</v>
          </cell>
          <cell r="M420">
            <v>2008890327</v>
          </cell>
          <cell r="N420" t="str">
            <v>TOHIR</v>
          </cell>
          <cell r="O420" t="str">
            <v>THR</v>
          </cell>
          <cell r="P420" t="str">
            <v>idFAip@jbr.indomaret.co.id</v>
          </cell>
          <cell r="Q420" t="str">
            <v>KAB. LUMAJANG</v>
          </cell>
          <cell r="R420" t="str">
            <v>SDS</v>
          </cell>
        </row>
        <row r="421">
          <cell r="D421" t="str">
            <v>FOAT</v>
          </cell>
          <cell r="E421" t="str">
            <v>SLAMET RIYADI 76</v>
          </cell>
          <cell r="F421" t="str">
            <v>JEMBER</v>
          </cell>
          <cell r="G421" t="str">
            <v>F</v>
          </cell>
          <cell r="H421">
            <v>44559</v>
          </cell>
          <cell r="I421" t="str">
            <v xml:space="preserve">STANDARD </v>
          </cell>
          <cell r="J421">
            <v>2010003996</v>
          </cell>
          <cell r="K421" t="str">
            <v>SOTARBAHAS HUTABALIAN</v>
          </cell>
          <cell r="L421" t="str">
            <v>SBN</v>
          </cell>
          <cell r="M421">
            <v>2008890327</v>
          </cell>
          <cell r="N421" t="str">
            <v>TOHIR</v>
          </cell>
          <cell r="O421" t="str">
            <v>THR</v>
          </cell>
          <cell r="P421" t="str">
            <v>idFOAT@jbr.indomaret.co.id</v>
          </cell>
          <cell r="Q421" t="str">
            <v>KAB. LUMAJANG</v>
          </cell>
          <cell r="R421" t="str">
            <v>SDS</v>
          </cell>
        </row>
        <row r="422">
          <cell r="D422" t="str">
            <v>FOGV</v>
          </cell>
          <cell r="E422" t="str">
            <v>SUWANDAK BARAT</v>
          </cell>
          <cell r="F422" t="str">
            <v>JEMBER</v>
          </cell>
          <cell r="G422" t="str">
            <v>F</v>
          </cell>
          <cell r="H422">
            <v>44491</v>
          </cell>
          <cell r="I422" t="str">
            <v xml:space="preserve">STANDARD </v>
          </cell>
          <cell r="J422">
            <v>2010003996</v>
          </cell>
          <cell r="K422" t="str">
            <v>SOTARBAHAS HUTABALIAN</v>
          </cell>
          <cell r="L422" t="str">
            <v>SBN</v>
          </cell>
          <cell r="M422">
            <v>2008890327</v>
          </cell>
          <cell r="N422" t="str">
            <v>TOHIR</v>
          </cell>
          <cell r="O422" t="str">
            <v>THR</v>
          </cell>
          <cell r="P422" t="str">
            <v>idFOGV@jbr.indomaret.co.id</v>
          </cell>
          <cell r="Q422" t="str">
            <v>KAB. LUMAJANG</v>
          </cell>
          <cell r="R422" t="str">
            <v>SDS</v>
          </cell>
        </row>
        <row r="423">
          <cell r="D423" t="str">
            <v>T1M9</v>
          </cell>
          <cell r="E423" t="str">
            <v>KALIMAS</v>
          </cell>
          <cell r="F423" t="str">
            <v>JEMBER</v>
          </cell>
          <cell r="G423" t="str">
            <v>R</v>
          </cell>
          <cell r="H423">
            <v>45716</v>
          </cell>
          <cell r="I423" t="str">
            <v xml:space="preserve">STANDARD </v>
          </cell>
          <cell r="J423">
            <v>2010003996</v>
          </cell>
          <cell r="K423" t="str">
            <v>SOTARBAHAS HUTABALIAN</v>
          </cell>
          <cell r="L423" t="str">
            <v>SBN</v>
          </cell>
          <cell r="M423">
            <v>2008890327</v>
          </cell>
          <cell r="N423" t="str">
            <v>TOHIR</v>
          </cell>
          <cell r="O423" t="str">
            <v>THR</v>
          </cell>
          <cell r="P423" t="str">
            <v>idmT1M9@jbr.indomaret.co.id</v>
          </cell>
          <cell r="Q423" t="str">
            <v>KAB. LUMAJANG</v>
          </cell>
          <cell r="R423" t="str">
            <v>SDS</v>
          </cell>
        </row>
        <row r="424">
          <cell r="D424" t="str">
            <v>T56H</v>
          </cell>
          <cell r="E424" t="str">
            <v>KLAKAH LUMAJANG</v>
          </cell>
          <cell r="F424" t="str">
            <v>JEMBER</v>
          </cell>
          <cell r="G424" t="str">
            <v>R</v>
          </cell>
          <cell r="H424">
            <v>41153</v>
          </cell>
          <cell r="I424" t="str">
            <v>STANDARD NEW</v>
          </cell>
          <cell r="J424">
            <v>2010003996</v>
          </cell>
          <cell r="K424" t="str">
            <v>SOTARBAHAS HUTABALIAN</v>
          </cell>
          <cell r="L424" t="str">
            <v>SBN</v>
          </cell>
          <cell r="M424">
            <v>2008890327</v>
          </cell>
          <cell r="N424" t="str">
            <v>TOHIR</v>
          </cell>
          <cell r="O424" t="str">
            <v>THR</v>
          </cell>
          <cell r="P424" t="str">
            <v>idmT56H@jbr.indomaret.co.id</v>
          </cell>
          <cell r="Q424" t="str">
            <v>KAB. LUMAJANG</v>
          </cell>
          <cell r="R424" t="str">
            <v>SDN</v>
          </cell>
        </row>
        <row r="425">
          <cell r="D425" t="str">
            <v>TA07</v>
          </cell>
          <cell r="E425" t="str">
            <v>MLAWANG</v>
          </cell>
          <cell r="F425" t="str">
            <v>JEMBER</v>
          </cell>
          <cell r="G425" t="str">
            <v>R</v>
          </cell>
          <cell r="H425">
            <v>43009</v>
          </cell>
          <cell r="I425" t="str">
            <v xml:space="preserve">STANDARD </v>
          </cell>
          <cell r="J425">
            <v>2010003996</v>
          </cell>
          <cell r="K425" t="str">
            <v>SOTARBAHAS HUTABALIAN</v>
          </cell>
          <cell r="L425" t="str">
            <v>SBN</v>
          </cell>
          <cell r="M425">
            <v>2008890327</v>
          </cell>
          <cell r="N425" t="str">
            <v>TOHIR</v>
          </cell>
          <cell r="O425" t="str">
            <v>THR</v>
          </cell>
          <cell r="P425" t="str">
            <v>idmTA07@jbr.indomaret.co.id</v>
          </cell>
          <cell r="Q425" t="str">
            <v>KAB. LUMAJANG</v>
          </cell>
          <cell r="R425" t="str">
            <v>SDS</v>
          </cell>
        </row>
        <row r="426">
          <cell r="D426" t="str">
            <v>TBAT</v>
          </cell>
          <cell r="E426" t="str">
            <v>GATOT SUBROTO 179</v>
          </cell>
          <cell r="F426" t="str">
            <v>JEMBER</v>
          </cell>
          <cell r="G426" t="str">
            <v>R</v>
          </cell>
          <cell r="H426">
            <v>42991</v>
          </cell>
          <cell r="I426" t="str">
            <v xml:space="preserve">STANDARD </v>
          </cell>
          <cell r="J426">
            <v>2010003996</v>
          </cell>
          <cell r="K426" t="str">
            <v>SOTARBAHAS HUTABALIAN</v>
          </cell>
          <cell r="L426" t="str">
            <v>SBN</v>
          </cell>
          <cell r="M426">
            <v>2008890327</v>
          </cell>
          <cell r="N426" t="str">
            <v>TOHIR</v>
          </cell>
          <cell r="O426" t="str">
            <v>THR</v>
          </cell>
          <cell r="P426" t="str">
            <v>idmTBAT@jbr.indomaret.co.id</v>
          </cell>
          <cell r="Q426" t="str">
            <v>KAB. LUMAJANG</v>
          </cell>
          <cell r="R426" t="str">
            <v>SDS</v>
          </cell>
        </row>
        <row r="427">
          <cell r="D427" t="str">
            <v>TC6M</v>
          </cell>
          <cell r="E427" t="str">
            <v>BROMO KARANGSARI</v>
          </cell>
          <cell r="F427" t="str">
            <v>JEMBER</v>
          </cell>
          <cell r="G427" t="str">
            <v>R</v>
          </cell>
          <cell r="H427">
            <v>46088</v>
          </cell>
          <cell r="I427" t="str">
            <v>STANDARD NEW</v>
          </cell>
          <cell r="J427">
            <v>2010003996</v>
          </cell>
          <cell r="K427" t="str">
            <v>SOTARBAHAS HUTABALIAN</v>
          </cell>
          <cell r="L427" t="str">
            <v>SBN</v>
          </cell>
          <cell r="M427">
            <v>2008890327</v>
          </cell>
          <cell r="N427" t="str">
            <v>TOHIR</v>
          </cell>
          <cell r="O427" t="str">
            <v>THR</v>
          </cell>
          <cell r="P427" t="str">
            <v>idmTC6M@jbr.indomaret.co.id</v>
          </cell>
          <cell r="Q427" t="str">
            <v>KAB. LUMAJANG</v>
          </cell>
          <cell r="R427" t="str">
            <v>SDN</v>
          </cell>
        </row>
        <row r="428">
          <cell r="D428" t="str">
            <v>TDBF</v>
          </cell>
          <cell r="E428" t="str">
            <v>JATIROTO DALAM</v>
          </cell>
          <cell r="F428" t="str">
            <v>JEMBER</v>
          </cell>
          <cell r="G428" t="str">
            <v>R</v>
          </cell>
          <cell r="H428">
            <v>42738</v>
          </cell>
          <cell r="I428" t="str">
            <v xml:space="preserve">STANDARD </v>
          </cell>
          <cell r="J428">
            <v>2010003996</v>
          </cell>
          <cell r="K428" t="str">
            <v>SOTARBAHAS HUTABALIAN</v>
          </cell>
          <cell r="L428" t="str">
            <v>SBN</v>
          </cell>
          <cell r="M428">
            <v>2008890327</v>
          </cell>
          <cell r="N428" t="str">
            <v>TOHIR</v>
          </cell>
          <cell r="O428" t="str">
            <v>THR</v>
          </cell>
          <cell r="P428" t="str">
            <v>idmTDBF@jbr.indomaret.co.id</v>
          </cell>
          <cell r="Q428" t="str">
            <v>KAB. LUMAJANG</v>
          </cell>
          <cell r="R428" t="str">
            <v>SDS</v>
          </cell>
        </row>
        <row r="429">
          <cell r="D429" t="str">
            <v>TEBA</v>
          </cell>
          <cell r="E429" t="str">
            <v>RANDUAGUNG 266</v>
          </cell>
          <cell r="F429" t="str">
            <v>JEMBER</v>
          </cell>
          <cell r="G429" t="str">
            <v>R</v>
          </cell>
          <cell r="H429">
            <v>43099</v>
          </cell>
          <cell r="I429" t="str">
            <v xml:space="preserve">STANDARD </v>
          </cell>
          <cell r="J429">
            <v>2010003996</v>
          </cell>
          <cell r="K429" t="str">
            <v>SOTARBAHAS HUTABALIAN</v>
          </cell>
          <cell r="L429" t="str">
            <v>SBN</v>
          </cell>
          <cell r="M429">
            <v>2008890327</v>
          </cell>
          <cell r="N429" t="str">
            <v>TOHIR</v>
          </cell>
          <cell r="O429" t="str">
            <v>THR</v>
          </cell>
          <cell r="P429" t="str">
            <v>idmTEBA@jbr.indomaret.co.id</v>
          </cell>
          <cell r="Q429" t="str">
            <v>KAB. LUMAJANG</v>
          </cell>
          <cell r="R429" t="str">
            <v>SDS</v>
          </cell>
        </row>
        <row r="430">
          <cell r="D430" t="str">
            <v>TF21</v>
          </cell>
          <cell r="E430" t="str">
            <v>JATIROTO</v>
          </cell>
          <cell r="F430" t="str">
            <v>JEMBER</v>
          </cell>
          <cell r="G430" t="str">
            <v>R</v>
          </cell>
          <cell r="H430">
            <v>38625</v>
          </cell>
          <cell r="I430" t="str">
            <v xml:space="preserve">STANDARD </v>
          </cell>
          <cell r="J430">
            <v>2010003996</v>
          </cell>
          <cell r="K430" t="str">
            <v>SOTARBAHAS HUTABALIAN</v>
          </cell>
          <cell r="L430" t="str">
            <v>SBN</v>
          </cell>
          <cell r="M430">
            <v>2008890327</v>
          </cell>
          <cell r="N430" t="str">
            <v>TOHIR</v>
          </cell>
          <cell r="O430" t="str">
            <v>THR</v>
          </cell>
          <cell r="P430" t="str">
            <v>idmTF21@jbr.indomaret.co.id</v>
          </cell>
          <cell r="Q430" t="str">
            <v>KAB. LUMAJANG</v>
          </cell>
          <cell r="R430" t="str">
            <v>SDS</v>
          </cell>
        </row>
        <row r="431">
          <cell r="D431" t="str">
            <v>THRY</v>
          </cell>
          <cell r="E431" t="str">
            <v>RANDUAGUNG</v>
          </cell>
          <cell r="F431" t="str">
            <v>JEMBER</v>
          </cell>
          <cell r="G431" t="str">
            <v>R</v>
          </cell>
          <cell r="H431">
            <v>44197</v>
          </cell>
          <cell r="I431" t="str">
            <v xml:space="preserve">STANDARD </v>
          </cell>
          <cell r="J431">
            <v>2010003996</v>
          </cell>
          <cell r="K431" t="str">
            <v>SOTARBAHAS HUTABALIAN</v>
          </cell>
          <cell r="L431" t="str">
            <v>SBN</v>
          </cell>
          <cell r="M431">
            <v>2008890327</v>
          </cell>
          <cell r="N431" t="str">
            <v>TOHIR</v>
          </cell>
          <cell r="O431" t="str">
            <v>THR</v>
          </cell>
          <cell r="P431" t="str">
            <v>idmTHRY@jbr.indomaret.co.id</v>
          </cell>
          <cell r="Q431" t="str">
            <v>KAB. LUMAJANG</v>
          </cell>
          <cell r="R431" t="str">
            <v>SDS</v>
          </cell>
        </row>
        <row r="432">
          <cell r="D432" t="str">
            <v>TYWG</v>
          </cell>
          <cell r="E432" t="str">
            <v>KH.GHOZALI</v>
          </cell>
          <cell r="F432" t="str">
            <v>JEMBER</v>
          </cell>
          <cell r="G432" t="str">
            <v>R</v>
          </cell>
          <cell r="H432">
            <v>43101</v>
          </cell>
          <cell r="I432" t="str">
            <v xml:space="preserve">STANDARD </v>
          </cell>
          <cell r="J432">
            <v>2010003996</v>
          </cell>
          <cell r="K432" t="str">
            <v>SOTARBAHAS HUTABALIAN</v>
          </cell>
          <cell r="L432" t="str">
            <v>SBN</v>
          </cell>
          <cell r="M432">
            <v>2008890327</v>
          </cell>
          <cell r="N432" t="str">
            <v>TOHIR</v>
          </cell>
          <cell r="O432" t="str">
            <v>THR</v>
          </cell>
          <cell r="P432" t="str">
            <v>idmTYWG@jbr.indomaret.co.id</v>
          </cell>
          <cell r="Q432" t="str">
            <v>KAB. LUMAJANG</v>
          </cell>
          <cell r="R432" t="str">
            <v>SDS</v>
          </cell>
        </row>
        <row r="433">
          <cell r="D433" t="str">
            <v>T20A</v>
          </cell>
          <cell r="E433" t="str">
            <v>A.YANI- BANYUWANGI</v>
          </cell>
          <cell r="F433" t="str">
            <v>JEMBER</v>
          </cell>
          <cell r="G433" t="str">
            <v>R</v>
          </cell>
          <cell r="H433">
            <v>39864</v>
          </cell>
          <cell r="I433" t="str">
            <v>STANDARD NEW</v>
          </cell>
          <cell r="J433">
            <v>1993000292</v>
          </cell>
          <cell r="K433" t="str">
            <v>SUGENG SANTOSO</v>
          </cell>
          <cell r="L433" t="str">
            <v>SSO</v>
          </cell>
          <cell r="M433">
            <v>2008420112</v>
          </cell>
          <cell r="N433" t="str">
            <v>EKA RATNANING PUTRI</v>
          </cell>
          <cell r="O433" t="str">
            <v>ERI</v>
          </cell>
          <cell r="P433" t="str">
            <v>idmT20A@jbr.indomaret.co.id</v>
          </cell>
          <cell r="Q433" t="str">
            <v>KAB. BANYUWANGI</v>
          </cell>
          <cell r="R433" t="str">
            <v>SDN</v>
          </cell>
        </row>
        <row r="434">
          <cell r="D434" t="str">
            <v>T663</v>
          </cell>
          <cell r="E434" t="str">
            <v>BANYUWANGI</v>
          </cell>
          <cell r="F434" t="str">
            <v>JEMBER</v>
          </cell>
          <cell r="G434" t="str">
            <v>R</v>
          </cell>
          <cell r="H434">
            <v>38302</v>
          </cell>
          <cell r="I434" t="str">
            <v>STANDARD NEW</v>
          </cell>
          <cell r="J434">
            <v>1993000292</v>
          </cell>
          <cell r="K434" t="str">
            <v>SUGENG SANTOSO</v>
          </cell>
          <cell r="L434" t="str">
            <v>SSO</v>
          </cell>
          <cell r="M434">
            <v>2008420112</v>
          </cell>
          <cell r="N434" t="str">
            <v>EKA RATNANING PUTRI</v>
          </cell>
          <cell r="O434" t="str">
            <v>ERI</v>
          </cell>
          <cell r="P434" t="str">
            <v>idmT663@jbr.indomaret.co.id</v>
          </cell>
          <cell r="Q434" t="str">
            <v>KAB. BANYUWANGI</v>
          </cell>
          <cell r="R434" t="str">
            <v>SDN</v>
          </cell>
        </row>
        <row r="435">
          <cell r="D435" t="str">
            <v>T680</v>
          </cell>
          <cell r="E435" t="str">
            <v>SRONO BANYUWANGI</v>
          </cell>
          <cell r="F435" t="str">
            <v>JEMBER</v>
          </cell>
          <cell r="G435" t="str">
            <v>R</v>
          </cell>
          <cell r="H435">
            <v>38460</v>
          </cell>
          <cell r="I435" t="str">
            <v>STANDARD NEW</v>
          </cell>
          <cell r="J435">
            <v>1993000292</v>
          </cell>
          <cell r="K435" t="str">
            <v>SUGENG SANTOSO</v>
          </cell>
          <cell r="L435" t="str">
            <v>SSO</v>
          </cell>
          <cell r="M435">
            <v>2008420112</v>
          </cell>
          <cell r="N435" t="str">
            <v>EKA RATNANING PUTRI</v>
          </cell>
          <cell r="O435" t="str">
            <v>ERI</v>
          </cell>
          <cell r="P435" t="str">
            <v>idmT680@jbr.indomaret.co.id</v>
          </cell>
          <cell r="Q435" t="str">
            <v>KAB. BANYUWANGI</v>
          </cell>
          <cell r="R435" t="str">
            <v>SDN</v>
          </cell>
        </row>
        <row r="436">
          <cell r="D436" t="str">
            <v>TA17</v>
          </cell>
          <cell r="E436" t="str">
            <v>FRESH DIPONEGORO</v>
          </cell>
          <cell r="F436" t="str">
            <v>JEMBER</v>
          </cell>
          <cell r="G436" t="str">
            <v>R</v>
          </cell>
          <cell r="H436">
            <v>39002</v>
          </cell>
          <cell r="I436" t="str">
            <v>MATRIX FRESH</v>
          </cell>
          <cell r="J436">
            <v>1993000292</v>
          </cell>
          <cell r="K436" t="str">
            <v>SUGENG SANTOSO</v>
          </cell>
          <cell r="L436" t="str">
            <v>SSO</v>
          </cell>
          <cell r="M436">
            <v>2008420112</v>
          </cell>
          <cell r="N436" t="str">
            <v>EKA RATNANING PUTRI</v>
          </cell>
          <cell r="O436" t="str">
            <v>ERI</v>
          </cell>
          <cell r="P436" t="str">
            <v>idmTA17@jbr.indomaret.co.id</v>
          </cell>
          <cell r="Q436" t="str">
            <v>KAB. BANYUWANGI</v>
          </cell>
          <cell r="R436" t="str">
            <v>MFF</v>
          </cell>
        </row>
        <row r="437">
          <cell r="D437" t="str">
            <v>TA30</v>
          </cell>
          <cell r="E437" t="str">
            <v>COKROAMINOTO-BWI</v>
          </cell>
          <cell r="F437" t="str">
            <v>JEMBER</v>
          </cell>
          <cell r="G437" t="str">
            <v>R</v>
          </cell>
          <cell r="H437">
            <v>39113</v>
          </cell>
          <cell r="I437" t="str">
            <v>STANDARD NEW</v>
          </cell>
          <cell r="J437">
            <v>1993000292</v>
          </cell>
          <cell r="K437" t="str">
            <v>SUGENG SANTOSO</v>
          </cell>
          <cell r="L437" t="str">
            <v>SSO</v>
          </cell>
          <cell r="M437">
            <v>2008420112</v>
          </cell>
          <cell r="N437" t="str">
            <v>EKA RATNANING PUTRI</v>
          </cell>
          <cell r="O437" t="str">
            <v>ERI</v>
          </cell>
          <cell r="P437" t="str">
            <v>idmTA30@jbr.indomaret.co.id</v>
          </cell>
          <cell r="Q437" t="str">
            <v>KAB. BANYUWANGI</v>
          </cell>
          <cell r="R437" t="str">
            <v>SDN</v>
          </cell>
        </row>
        <row r="438">
          <cell r="D438" t="str">
            <v>TA67</v>
          </cell>
          <cell r="E438" t="str">
            <v>GLADAG - BANYUWANGI</v>
          </cell>
          <cell r="F438" t="str">
            <v>JEMBER</v>
          </cell>
          <cell r="G438" t="str">
            <v>R</v>
          </cell>
          <cell r="H438">
            <v>39353</v>
          </cell>
          <cell r="I438" t="str">
            <v>STANDARD NEW</v>
          </cell>
          <cell r="J438">
            <v>1993000292</v>
          </cell>
          <cell r="K438" t="str">
            <v>SUGENG SANTOSO</v>
          </cell>
          <cell r="L438" t="str">
            <v>SSO</v>
          </cell>
          <cell r="M438">
            <v>2008420112</v>
          </cell>
          <cell r="N438" t="str">
            <v>EKA RATNANING PUTRI</v>
          </cell>
          <cell r="O438" t="str">
            <v>ERI</v>
          </cell>
          <cell r="P438" t="str">
            <v>idmTA67@jbr.indomaret.co.id</v>
          </cell>
          <cell r="Q438" t="str">
            <v>KAB. BANYUWANGI</v>
          </cell>
          <cell r="R438" t="str">
            <v>SDN</v>
          </cell>
        </row>
        <row r="439">
          <cell r="D439" t="str">
            <v>TQ39</v>
          </cell>
          <cell r="E439" t="str">
            <v>FRESH BRAWIJAYA  BANYUWANGI</v>
          </cell>
          <cell r="F439" t="str">
            <v>JEMBER</v>
          </cell>
          <cell r="G439" t="str">
            <v>R</v>
          </cell>
          <cell r="H439">
            <v>40452</v>
          </cell>
          <cell r="I439" t="str">
            <v>MATRIX FRESH</v>
          </cell>
          <cell r="J439">
            <v>1993000292</v>
          </cell>
          <cell r="K439" t="str">
            <v>SUGENG SANTOSO</v>
          </cell>
          <cell r="L439" t="str">
            <v>SSO</v>
          </cell>
          <cell r="M439">
            <v>2008420112</v>
          </cell>
          <cell r="N439" t="str">
            <v>EKA RATNANING PUTRI</v>
          </cell>
          <cell r="O439" t="str">
            <v>ERI</v>
          </cell>
          <cell r="P439" t="str">
            <v>idmTQ39@jbr.indomaret.co.id</v>
          </cell>
          <cell r="Q439" t="str">
            <v>KAB. BANYUWANGI</v>
          </cell>
          <cell r="R439" t="str">
            <v>MFF</v>
          </cell>
        </row>
        <row r="440">
          <cell r="D440" t="str">
            <v>T60T</v>
          </cell>
          <cell r="E440" t="str">
            <v>FRESH HAYAM WURUK JEMBER</v>
          </cell>
          <cell r="F440" t="str">
            <v>JEMBER</v>
          </cell>
          <cell r="G440" t="str">
            <v>R</v>
          </cell>
          <cell r="H440">
            <v>40752</v>
          </cell>
          <cell r="I440" t="str">
            <v>MATRIX FRESH</v>
          </cell>
          <cell r="J440">
            <v>1993000292</v>
          </cell>
          <cell r="K440" t="str">
            <v>SUGENG SANTOSO</v>
          </cell>
          <cell r="L440" t="str">
            <v>SSO</v>
          </cell>
          <cell r="M440">
            <v>2013212183</v>
          </cell>
          <cell r="N440" t="str">
            <v>IMAM FATONI</v>
          </cell>
          <cell r="O440" t="str">
            <v>IFO</v>
          </cell>
          <cell r="P440" t="str">
            <v>idmT60T@jbr.indomaret.co.id</v>
          </cell>
          <cell r="Q440" t="str">
            <v>KAB. JEMBER</v>
          </cell>
          <cell r="R440" t="str">
            <v>MFF</v>
          </cell>
        </row>
        <row r="441">
          <cell r="D441" t="str">
            <v>T61Q</v>
          </cell>
          <cell r="E441" t="str">
            <v>FRESH PIERRE TENDEAN JBR</v>
          </cell>
          <cell r="F441" t="str">
            <v>JEMBER</v>
          </cell>
          <cell r="G441" t="str">
            <v>R</v>
          </cell>
          <cell r="H441">
            <v>40585</v>
          </cell>
          <cell r="I441" t="str">
            <v>MATRIX FRESH</v>
          </cell>
          <cell r="J441">
            <v>1993000292</v>
          </cell>
          <cell r="K441" t="str">
            <v>SUGENG SANTOSO</v>
          </cell>
          <cell r="L441" t="str">
            <v>SSO</v>
          </cell>
          <cell r="M441">
            <v>2013212183</v>
          </cell>
          <cell r="N441" t="str">
            <v>IMAM FATONI</v>
          </cell>
          <cell r="O441" t="str">
            <v>IFO</v>
          </cell>
          <cell r="P441" t="str">
            <v>idmT61Q@jbr.indomaret.co.id</v>
          </cell>
          <cell r="Q441" t="str">
            <v>KAB. JEMBER</v>
          </cell>
          <cell r="R441" t="str">
            <v>MFF</v>
          </cell>
        </row>
        <row r="442">
          <cell r="D442" t="str">
            <v>TC8L</v>
          </cell>
          <cell r="E442" t="str">
            <v>FRESH MASTRIP_ BONDOWOSO</v>
          </cell>
          <cell r="F442" t="str">
            <v>JEMBER</v>
          </cell>
          <cell r="G442" t="str">
            <v>R</v>
          </cell>
          <cell r="H442">
            <v>40190</v>
          </cell>
          <cell r="I442" t="str">
            <v>MATRIX FRESH</v>
          </cell>
          <cell r="J442">
            <v>1993000292</v>
          </cell>
          <cell r="K442" t="str">
            <v>SUGENG SANTOSO</v>
          </cell>
          <cell r="L442" t="str">
            <v>SSO</v>
          </cell>
          <cell r="M442">
            <v>2013212183</v>
          </cell>
          <cell r="N442" t="str">
            <v>IMAM FATONI</v>
          </cell>
          <cell r="O442" t="str">
            <v>IFO</v>
          </cell>
          <cell r="P442" t="str">
            <v>idmTC8L@jbr.indomaret.co.id</v>
          </cell>
          <cell r="Q442" t="str">
            <v>KAB. BONDOWOSO</v>
          </cell>
          <cell r="R442" t="str">
            <v>MFF</v>
          </cell>
        </row>
        <row r="443">
          <cell r="D443" t="str">
            <v>TFUW</v>
          </cell>
          <cell r="E443" t="str">
            <v>FRESH PB SUDIRMAN BARU</v>
          </cell>
          <cell r="F443" t="str">
            <v>JEMBER</v>
          </cell>
          <cell r="G443" t="str">
            <v>R</v>
          </cell>
          <cell r="H443">
            <v>42546</v>
          </cell>
          <cell r="I443" t="str">
            <v>MATRIX FRESH</v>
          </cell>
          <cell r="J443">
            <v>1993000292</v>
          </cell>
          <cell r="K443" t="str">
            <v>SUGENG SANTOSO</v>
          </cell>
          <cell r="L443" t="str">
            <v>SSO</v>
          </cell>
          <cell r="M443">
            <v>2013212183</v>
          </cell>
          <cell r="N443" t="str">
            <v>IMAM FATONI</v>
          </cell>
          <cell r="O443" t="str">
            <v>IFO</v>
          </cell>
          <cell r="P443" t="str">
            <v>idmTFUW@jbr.indomaret.co.id</v>
          </cell>
          <cell r="Q443" t="str">
            <v>KAB. JEMBER</v>
          </cell>
          <cell r="R443" t="str">
            <v>MFF</v>
          </cell>
        </row>
        <row r="444">
          <cell r="D444" t="str">
            <v>F0YO</v>
          </cell>
          <cell r="E444" t="str">
            <v>RAYA SILIRAGUNG</v>
          </cell>
          <cell r="F444" t="str">
            <v>JEMBER</v>
          </cell>
          <cell r="G444" t="str">
            <v>F</v>
          </cell>
          <cell r="H444">
            <v>45593</v>
          </cell>
          <cell r="I444" t="str">
            <v xml:space="preserve">STANDARD </v>
          </cell>
          <cell r="J444">
            <v>1993000292</v>
          </cell>
          <cell r="K444" t="str">
            <v>SUGENG SANTOSO</v>
          </cell>
          <cell r="L444" t="str">
            <v>SSO</v>
          </cell>
          <cell r="M444">
            <v>2007013998</v>
          </cell>
          <cell r="N444" t="str">
            <v>ICUK SUGIARTO</v>
          </cell>
          <cell r="O444" t="str">
            <v>ISO</v>
          </cell>
          <cell r="P444" t="str">
            <v>idF0YO@jbr.indomaret.co.id</v>
          </cell>
          <cell r="Q444" t="str">
            <v>KAB. BANYUWANGI</v>
          </cell>
          <cell r="R444" t="str">
            <v>SDS</v>
          </cell>
        </row>
        <row r="445">
          <cell r="D445" t="str">
            <v>F36F</v>
          </cell>
          <cell r="E445" t="str">
            <v>PURWOHARJO 2</v>
          </cell>
          <cell r="F445" t="str">
            <v>JEMBER</v>
          </cell>
          <cell r="G445" t="str">
            <v>F</v>
          </cell>
          <cell r="H445">
            <v>45597</v>
          </cell>
          <cell r="I445" t="str">
            <v xml:space="preserve">STANDARD </v>
          </cell>
          <cell r="J445">
            <v>1993000292</v>
          </cell>
          <cell r="K445" t="str">
            <v>SUGENG SANTOSO</v>
          </cell>
          <cell r="L445" t="str">
            <v>SSO</v>
          </cell>
          <cell r="M445">
            <v>2007013998</v>
          </cell>
          <cell r="N445" t="str">
            <v>ICUK SUGIARTO</v>
          </cell>
          <cell r="O445" t="str">
            <v>ISO</v>
          </cell>
          <cell r="P445" t="str">
            <v>idF36F@jbr.indomaret.co.id</v>
          </cell>
          <cell r="Q445" t="str">
            <v>KAB. BANYUWANGI</v>
          </cell>
          <cell r="R445" t="str">
            <v>SDS</v>
          </cell>
        </row>
        <row r="446">
          <cell r="D446" t="str">
            <v>FDUL</v>
          </cell>
          <cell r="E446" t="str">
            <v>SAMBIMULYO</v>
          </cell>
          <cell r="F446" t="str">
            <v>JEMBER</v>
          </cell>
          <cell r="G446" t="str">
            <v>F</v>
          </cell>
          <cell r="H446">
            <v>45413</v>
          </cell>
          <cell r="I446" t="str">
            <v xml:space="preserve">STANDARD </v>
          </cell>
          <cell r="J446">
            <v>1993000292</v>
          </cell>
          <cell r="K446" t="str">
            <v>SUGENG SANTOSO</v>
          </cell>
          <cell r="L446" t="str">
            <v>SSO</v>
          </cell>
          <cell r="M446">
            <v>2007013998</v>
          </cell>
          <cell r="N446" t="str">
            <v>ICUK SUGIARTO</v>
          </cell>
          <cell r="O446" t="str">
            <v>ISO</v>
          </cell>
          <cell r="P446" t="str">
            <v>idFDUL@jbr.indomaret.co.id</v>
          </cell>
          <cell r="Q446" t="str">
            <v>KAB. BANYUWANGI</v>
          </cell>
          <cell r="R446" t="str">
            <v>SDS</v>
          </cell>
        </row>
        <row r="447">
          <cell r="D447" t="str">
            <v>FECI</v>
          </cell>
          <cell r="E447" t="str">
            <v>CLURING</v>
          </cell>
          <cell r="F447" t="str">
            <v>JEMBER</v>
          </cell>
          <cell r="G447" t="str">
            <v>F</v>
          </cell>
          <cell r="H447">
            <v>45444</v>
          </cell>
          <cell r="I447" t="str">
            <v xml:space="preserve">STANDARD </v>
          </cell>
          <cell r="J447">
            <v>1993000292</v>
          </cell>
          <cell r="K447" t="str">
            <v>SUGENG SANTOSO</v>
          </cell>
          <cell r="L447" t="str">
            <v>SSO</v>
          </cell>
          <cell r="M447">
            <v>2007013998</v>
          </cell>
          <cell r="N447" t="str">
            <v>ICUK SUGIARTO</v>
          </cell>
          <cell r="O447" t="str">
            <v>ISO</v>
          </cell>
          <cell r="P447" t="str">
            <v>idFECI@jbr.indomaret.co.id</v>
          </cell>
          <cell r="Q447" t="str">
            <v>KAB. BANYUWANGI</v>
          </cell>
          <cell r="R447" t="str">
            <v>SDS</v>
          </cell>
        </row>
        <row r="448">
          <cell r="D448" t="str">
            <v>FF37</v>
          </cell>
          <cell r="E448" t="str">
            <v>PESANGGARAN</v>
          </cell>
          <cell r="F448" t="str">
            <v>JEMBER</v>
          </cell>
          <cell r="G448" t="str">
            <v>F</v>
          </cell>
          <cell r="H448">
            <v>45536</v>
          </cell>
          <cell r="I448" t="str">
            <v xml:space="preserve">STANDARD </v>
          </cell>
          <cell r="J448">
            <v>1993000292</v>
          </cell>
          <cell r="K448" t="str">
            <v>SUGENG SANTOSO</v>
          </cell>
          <cell r="L448" t="str">
            <v>SSO</v>
          </cell>
          <cell r="M448">
            <v>2007013998</v>
          </cell>
          <cell r="N448" t="str">
            <v>ICUK SUGIARTO</v>
          </cell>
          <cell r="O448" t="str">
            <v>ISO</v>
          </cell>
          <cell r="P448" t="str">
            <v>idFF37@jbr.indomaret.co.id</v>
          </cell>
          <cell r="Q448" t="str">
            <v>KAB. BANYUWANGI</v>
          </cell>
          <cell r="R448" t="str">
            <v>SDS</v>
          </cell>
        </row>
        <row r="449">
          <cell r="D449" t="str">
            <v>FKHN</v>
          </cell>
          <cell r="E449" t="str">
            <v>JUANDA JAJAG</v>
          </cell>
          <cell r="F449" t="str">
            <v>JEMBER</v>
          </cell>
          <cell r="G449" t="str">
            <v>F</v>
          </cell>
          <cell r="H449">
            <v>45253</v>
          </cell>
          <cell r="I449" t="str">
            <v xml:space="preserve">STANDARD </v>
          </cell>
          <cell r="J449">
            <v>1993000292</v>
          </cell>
          <cell r="K449" t="str">
            <v>SUGENG SANTOSO</v>
          </cell>
          <cell r="L449" t="str">
            <v>SSO</v>
          </cell>
          <cell r="M449">
            <v>2007013998</v>
          </cell>
          <cell r="N449" t="str">
            <v>ICUK SUGIARTO</v>
          </cell>
          <cell r="O449" t="str">
            <v>ISO</v>
          </cell>
          <cell r="P449" t="str">
            <v>idFKHN@jbr.indomaret.co.id</v>
          </cell>
          <cell r="Q449" t="str">
            <v>KAB. BANYUWANGI</v>
          </cell>
          <cell r="R449" t="str">
            <v>SDS</v>
          </cell>
        </row>
        <row r="450">
          <cell r="D450" t="str">
            <v>FSJG</v>
          </cell>
          <cell r="E450" t="str">
            <v>SUPROBO</v>
          </cell>
          <cell r="F450" t="str">
            <v>JEMBER</v>
          </cell>
          <cell r="G450" t="str">
            <v>F</v>
          </cell>
          <cell r="H450">
            <v>45653</v>
          </cell>
          <cell r="I450" t="str">
            <v xml:space="preserve">STANDARD </v>
          </cell>
          <cell r="J450">
            <v>1993000292</v>
          </cell>
          <cell r="K450" t="str">
            <v>SUGENG SANTOSO</v>
          </cell>
          <cell r="L450" t="str">
            <v>SSO</v>
          </cell>
          <cell r="M450">
            <v>2007013998</v>
          </cell>
          <cell r="N450" t="str">
            <v>ICUK SUGIARTO</v>
          </cell>
          <cell r="O450" t="str">
            <v>ISO</v>
          </cell>
          <cell r="P450" t="str">
            <v>idFSJG@jbr.indomaret.co.id</v>
          </cell>
          <cell r="Q450" t="str">
            <v>KAB. BANYUWANGI</v>
          </cell>
          <cell r="R450" t="str">
            <v>SDS</v>
          </cell>
        </row>
        <row r="451">
          <cell r="D451" t="str">
            <v>FUHR</v>
          </cell>
          <cell r="E451" t="str">
            <v>SOEKARNO HATTA BANGOREJO-BWI</v>
          </cell>
          <cell r="F451" t="str">
            <v>JEMBER</v>
          </cell>
          <cell r="G451" t="str">
            <v>F</v>
          </cell>
          <cell r="H451">
            <v>45501</v>
          </cell>
          <cell r="I451" t="str">
            <v xml:space="preserve">STANDARD </v>
          </cell>
          <cell r="J451">
            <v>1993000292</v>
          </cell>
          <cell r="K451" t="str">
            <v>SUGENG SANTOSO</v>
          </cell>
          <cell r="L451" t="str">
            <v>SSO</v>
          </cell>
          <cell r="M451">
            <v>2007013998</v>
          </cell>
          <cell r="N451" t="str">
            <v>ICUK SUGIARTO</v>
          </cell>
          <cell r="O451" t="str">
            <v>ISO</v>
          </cell>
          <cell r="P451" t="str">
            <v>idFUHR@jbr.indomaret.co.id</v>
          </cell>
          <cell r="Q451" t="str">
            <v>KAB. BANYUWANGI</v>
          </cell>
          <cell r="R451" t="str">
            <v>SDS</v>
          </cell>
        </row>
        <row r="452">
          <cell r="D452" t="str">
            <v>FUZU</v>
          </cell>
          <cell r="E452" t="str">
            <v>RAYA PESANGGARAN</v>
          </cell>
          <cell r="F452" t="str">
            <v>JEMBER</v>
          </cell>
          <cell r="G452" t="str">
            <v>F</v>
          </cell>
          <cell r="H452">
            <v>45986</v>
          </cell>
          <cell r="I452" t="str">
            <v xml:space="preserve">STANDARD </v>
          </cell>
          <cell r="J452">
            <v>1993000292</v>
          </cell>
          <cell r="K452" t="str">
            <v>SUGENG SANTOSO</v>
          </cell>
          <cell r="L452" t="str">
            <v>SSO</v>
          </cell>
          <cell r="M452">
            <v>2007013998</v>
          </cell>
          <cell r="N452" t="str">
            <v>ICUK SUGIARTO</v>
          </cell>
          <cell r="O452" t="str">
            <v>ISO</v>
          </cell>
          <cell r="P452" t="str">
            <v>idFUZU@jbr.indomaret.co.id</v>
          </cell>
          <cell r="Q452" t="str">
            <v>KAB. BANYUWANGI</v>
          </cell>
          <cell r="R452" t="str">
            <v>SDS</v>
          </cell>
        </row>
        <row r="453">
          <cell r="D453" t="str">
            <v>FXE0</v>
          </cell>
          <cell r="E453" t="str">
            <v>SUKOMADE SUMBERAGUNG</v>
          </cell>
          <cell r="F453" t="str">
            <v>JEMBER</v>
          </cell>
          <cell r="G453" t="str">
            <v>F</v>
          </cell>
          <cell r="H453">
            <v>45895</v>
          </cell>
          <cell r="I453" t="str">
            <v xml:space="preserve">STANDARD </v>
          </cell>
          <cell r="J453">
            <v>1993000292</v>
          </cell>
          <cell r="K453" t="str">
            <v>SUGENG SANTOSO</v>
          </cell>
          <cell r="L453" t="str">
            <v>SSO</v>
          </cell>
          <cell r="M453">
            <v>2007013998</v>
          </cell>
          <cell r="N453" t="str">
            <v>ICUK SUGIARTO</v>
          </cell>
          <cell r="O453" t="str">
            <v>ISO</v>
          </cell>
          <cell r="P453" t="str">
            <v>idFXE0@jbr.indomaret.co.id</v>
          </cell>
          <cell r="Q453" t="str">
            <v>KAB. BANYUWANGI</v>
          </cell>
          <cell r="R453" t="str">
            <v>SDS</v>
          </cell>
        </row>
        <row r="454">
          <cell r="D454" t="str">
            <v>FYSU</v>
          </cell>
          <cell r="E454" t="str">
            <v>RAYA KESILIR</v>
          </cell>
          <cell r="F454" t="str">
            <v>JEMBER</v>
          </cell>
          <cell r="G454" t="str">
            <v>F</v>
          </cell>
          <cell r="H454">
            <v>45895</v>
          </cell>
          <cell r="I454" t="str">
            <v xml:space="preserve">STANDARD </v>
          </cell>
          <cell r="J454">
            <v>1993000292</v>
          </cell>
          <cell r="K454" t="str">
            <v>SUGENG SANTOSO</v>
          </cell>
          <cell r="L454" t="str">
            <v>SSO</v>
          </cell>
          <cell r="M454">
            <v>2007013998</v>
          </cell>
          <cell r="N454" t="str">
            <v>ICUK SUGIARTO</v>
          </cell>
          <cell r="O454" t="str">
            <v>ISO</v>
          </cell>
          <cell r="P454" t="str">
            <v>idFYSU@jbr.indomaret.co.id</v>
          </cell>
          <cell r="Q454" t="str">
            <v>KAB. BANYUWANGI</v>
          </cell>
          <cell r="R454" t="str">
            <v>SDS</v>
          </cell>
        </row>
        <row r="455">
          <cell r="D455" t="str">
            <v>TA89</v>
          </cell>
          <cell r="E455" t="str">
            <v>BANGOREJO</v>
          </cell>
          <cell r="F455" t="str">
            <v>JEMBER</v>
          </cell>
          <cell r="G455" t="str">
            <v>R</v>
          </cell>
          <cell r="H455">
            <v>39538</v>
          </cell>
          <cell r="I455" t="str">
            <v>STANDARD NEW</v>
          </cell>
          <cell r="J455">
            <v>1993000292</v>
          </cell>
          <cell r="K455" t="str">
            <v>SUGENG SANTOSO</v>
          </cell>
          <cell r="L455" t="str">
            <v>SSO</v>
          </cell>
          <cell r="M455">
            <v>2007013998</v>
          </cell>
          <cell r="N455" t="str">
            <v>ICUK SUGIARTO</v>
          </cell>
          <cell r="O455" t="str">
            <v>ISO</v>
          </cell>
          <cell r="P455" t="str">
            <v>idmTA89@jbr.indomaret.co.id</v>
          </cell>
          <cell r="Q455" t="str">
            <v>KAB. BANYUWANGI</v>
          </cell>
          <cell r="R455" t="str">
            <v>SDN</v>
          </cell>
        </row>
        <row r="456">
          <cell r="D456" t="str">
            <v>TF04</v>
          </cell>
          <cell r="E456" t="str">
            <v>PURWOHARJO</v>
          </cell>
          <cell r="F456" t="str">
            <v>JEMBER</v>
          </cell>
          <cell r="G456" t="str">
            <v>R</v>
          </cell>
          <cell r="H456">
            <v>38533</v>
          </cell>
          <cell r="I456" t="str">
            <v>STANDARD NEW</v>
          </cell>
          <cell r="J456">
            <v>1993000292</v>
          </cell>
          <cell r="K456" t="str">
            <v>SUGENG SANTOSO</v>
          </cell>
          <cell r="L456" t="str">
            <v>SSO</v>
          </cell>
          <cell r="M456">
            <v>2007013998</v>
          </cell>
          <cell r="N456" t="str">
            <v>ICUK SUGIARTO</v>
          </cell>
          <cell r="O456" t="str">
            <v>ISO</v>
          </cell>
          <cell r="P456" t="str">
            <v>idmTF04@jbr.indomaret.co.id</v>
          </cell>
          <cell r="Q456" t="str">
            <v>KAB. BANYUWANGI</v>
          </cell>
          <cell r="R456" t="str">
            <v>SDN</v>
          </cell>
        </row>
        <row r="457">
          <cell r="D457" t="str">
            <v>F52F</v>
          </cell>
          <cell r="E457" t="str">
            <v>SUMBERREJO - BANYUWANGI</v>
          </cell>
          <cell r="F457" t="str">
            <v>JEMBER</v>
          </cell>
          <cell r="G457" t="str">
            <v>F</v>
          </cell>
          <cell r="H457">
            <v>45627</v>
          </cell>
          <cell r="I457" t="str">
            <v xml:space="preserve">STANDARD </v>
          </cell>
          <cell r="J457">
            <v>1993000292</v>
          </cell>
          <cell r="K457" t="str">
            <v>SUGENG SANTOSO</v>
          </cell>
          <cell r="L457" t="str">
            <v>SSO</v>
          </cell>
          <cell r="M457">
            <v>2011012567</v>
          </cell>
          <cell r="N457" t="str">
            <v>MAURIDE EGO PUTRA</v>
          </cell>
          <cell r="O457" t="str">
            <v>MEP</v>
          </cell>
          <cell r="P457" t="str">
            <v>idF52F@jbr.indomaret.co.id</v>
          </cell>
          <cell r="Q457" t="str">
            <v>KAB. BANYUWANGI</v>
          </cell>
          <cell r="R457" t="str">
            <v>SDS</v>
          </cell>
        </row>
        <row r="458">
          <cell r="D458" t="str">
            <v>F58Q</v>
          </cell>
          <cell r="E458" t="str">
            <v>AGUS SALIM - BANYUWANGI</v>
          </cell>
          <cell r="F458" t="str">
            <v>JEMBER</v>
          </cell>
          <cell r="G458" t="str">
            <v>F</v>
          </cell>
          <cell r="H458">
            <v>44348</v>
          </cell>
          <cell r="I458" t="str">
            <v xml:space="preserve">STANDARD </v>
          </cell>
          <cell r="J458">
            <v>1993000292</v>
          </cell>
          <cell r="K458" t="str">
            <v>SUGENG SANTOSO</v>
          </cell>
          <cell r="L458" t="str">
            <v>SSO</v>
          </cell>
          <cell r="M458">
            <v>2011012567</v>
          </cell>
          <cell r="N458" t="str">
            <v>MAURIDE EGO PUTRA</v>
          </cell>
          <cell r="O458" t="str">
            <v>MEP</v>
          </cell>
          <cell r="P458" t="str">
            <v>idF58Q@jbr.indomaret.co.id</v>
          </cell>
          <cell r="Q458" t="str">
            <v>KAB. BANYUWANGI</v>
          </cell>
          <cell r="R458" t="str">
            <v>SDS</v>
          </cell>
        </row>
        <row r="459">
          <cell r="D459" t="str">
            <v>FFCH</v>
          </cell>
          <cell r="E459" t="str">
            <v>PIERRE TENDEAN</v>
          </cell>
          <cell r="F459" t="str">
            <v>JEMBER</v>
          </cell>
          <cell r="G459" t="str">
            <v>F</v>
          </cell>
          <cell r="H459">
            <v>44378</v>
          </cell>
          <cell r="I459" t="str">
            <v xml:space="preserve">STANDARD </v>
          </cell>
          <cell r="J459">
            <v>1993000292</v>
          </cell>
          <cell r="K459" t="str">
            <v>SUGENG SANTOSO</v>
          </cell>
          <cell r="L459" t="str">
            <v>SSO</v>
          </cell>
          <cell r="M459">
            <v>2011012567</v>
          </cell>
          <cell r="N459" t="str">
            <v>MAURIDE EGO PUTRA</v>
          </cell>
          <cell r="O459" t="str">
            <v>MEP</v>
          </cell>
          <cell r="P459" t="str">
            <v>idFFCH@jbr.indomaret.co.id</v>
          </cell>
          <cell r="Q459" t="str">
            <v>KAB. BANYUWANGI</v>
          </cell>
          <cell r="R459" t="str">
            <v>SDS</v>
          </cell>
        </row>
        <row r="460">
          <cell r="D460" t="str">
            <v>FNBU</v>
          </cell>
          <cell r="E460" t="str">
            <v>BLIMBINGSARI</v>
          </cell>
          <cell r="F460" t="str">
            <v>JEMBER</v>
          </cell>
          <cell r="G460" t="str">
            <v>F</v>
          </cell>
          <cell r="H460">
            <v>44923</v>
          </cell>
          <cell r="I460" t="str">
            <v xml:space="preserve">STANDARD </v>
          </cell>
          <cell r="J460">
            <v>1993000292</v>
          </cell>
          <cell r="K460" t="str">
            <v>SUGENG SANTOSO</v>
          </cell>
          <cell r="L460" t="str">
            <v>SSO</v>
          </cell>
          <cell r="M460">
            <v>2011012567</v>
          </cell>
          <cell r="N460" t="str">
            <v>MAURIDE EGO PUTRA</v>
          </cell>
          <cell r="O460" t="str">
            <v>MEP</v>
          </cell>
          <cell r="P460" t="str">
            <v>idFNBU@jbr.indomaret.co.id</v>
          </cell>
          <cell r="Q460" t="str">
            <v>KAB. BANYUWANGI</v>
          </cell>
          <cell r="R460" t="str">
            <v>SDS</v>
          </cell>
        </row>
        <row r="461">
          <cell r="D461" t="str">
            <v>FNKN</v>
          </cell>
          <cell r="E461" t="str">
            <v>SRONO 2 - BANYUWANGI</v>
          </cell>
          <cell r="F461" t="str">
            <v>JEMBER</v>
          </cell>
          <cell r="G461" t="str">
            <v>F</v>
          </cell>
          <cell r="H461">
            <v>45078</v>
          </cell>
          <cell r="I461" t="str">
            <v xml:space="preserve">STANDARD </v>
          </cell>
          <cell r="J461">
            <v>1993000292</v>
          </cell>
          <cell r="K461" t="str">
            <v>SUGENG SANTOSO</v>
          </cell>
          <cell r="L461" t="str">
            <v>SSO</v>
          </cell>
          <cell r="M461">
            <v>2011012567</v>
          </cell>
          <cell r="N461" t="str">
            <v>MAURIDE EGO PUTRA</v>
          </cell>
          <cell r="O461" t="str">
            <v>MEP</v>
          </cell>
          <cell r="P461" t="str">
            <v>idFNKN@jbr.indomaret.co.id</v>
          </cell>
          <cell r="Q461" t="str">
            <v>KAB. BANYUWANGI</v>
          </cell>
          <cell r="R461" t="str">
            <v>SDS</v>
          </cell>
        </row>
        <row r="462">
          <cell r="D462" t="str">
            <v>FTMV</v>
          </cell>
          <cell r="E462" t="str">
            <v>BANTERANG</v>
          </cell>
          <cell r="F462" t="str">
            <v>JEMBER</v>
          </cell>
          <cell r="G462" t="str">
            <v>F</v>
          </cell>
          <cell r="H462">
            <v>45078</v>
          </cell>
          <cell r="I462" t="str">
            <v>STANDARD NEW</v>
          </cell>
          <cell r="J462">
            <v>1993000292</v>
          </cell>
          <cell r="K462" t="str">
            <v>SUGENG SANTOSO</v>
          </cell>
          <cell r="L462" t="str">
            <v>SSO</v>
          </cell>
          <cell r="M462">
            <v>2011012567</v>
          </cell>
          <cell r="N462" t="str">
            <v>MAURIDE EGO PUTRA</v>
          </cell>
          <cell r="O462" t="str">
            <v>MEP</v>
          </cell>
          <cell r="P462" t="str">
            <v>idFTMV@jbr.indomaret.co.id</v>
          </cell>
          <cell r="Q462" t="str">
            <v>KAB. BANYUWANGI</v>
          </cell>
          <cell r="R462" t="str">
            <v>SDN</v>
          </cell>
        </row>
        <row r="463">
          <cell r="D463" t="str">
            <v>FUGR</v>
          </cell>
          <cell r="E463" t="str">
            <v>PRAMBANAN</v>
          </cell>
          <cell r="F463" t="str">
            <v>JEMBER</v>
          </cell>
          <cell r="G463" t="str">
            <v>F</v>
          </cell>
          <cell r="H463">
            <v>44944</v>
          </cell>
          <cell r="I463" t="str">
            <v xml:space="preserve">STANDARD </v>
          </cell>
          <cell r="J463">
            <v>1993000292</v>
          </cell>
          <cell r="K463" t="str">
            <v>SUGENG SANTOSO</v>
          </cell>
          <cell r="L463" t="str">
            <v>SSO</v>
          </cell>
          <cell r="M463">
            <v>2011012567</v>
          </cell>
          <cell r="N463" t="str">
            <v>MAURIDE EGO PUTRA</v>
          </cell>
          <cell r="O463" t="str">
            <v>MEP</v>
          </cell>
          <cell r="P463" t="str">
            <v>idFUGR@jbr.indomaret.co.id</v>
          </cell>
          <cell r="Q463" t="str">
            <v>KAB. BANYUWANGI</v>
          </cell>
          <cell r="R463" t="str">
            <v>SDS</v>
          </cell>
        </row>
        <row r="464">
          <cell r="D464" t="str">
            <v>FVDU</v>
          </cell>
          <cell r="E464" t="str">
            <v>KEBAMAN</v>
          </cell>
          <cell r="F464" t="str">
            <v>JEMBER</v>
          </cell>
          <cell r="G464" t="str">
            <v>F</v>
          </cell>
          <cell r="H464">
            <v>45217</v>
          </cell>
          <cell r="I464" t="str">
            <v xml:space="preserve">STANDARD </v>
          </cell>
          <cell r="J464">
            <v>1993000292</v>
          </cell>
          <cell r="K464" t="str">
            <v>SUGENG SANTOSO</v>
          </cell>
          <cell r="L464" t="str">
            <v>SSO</v>
          </cell>
          <cell r="M464">
            <v>2011012567</v>
          </cell>
          <cell r="N464" t="str">
            <v>MAURIDE EGO PUTRA</v>
          </cell>
          <cell r="O464" t="str">
            <v>MEP</v>
          </cell>
          <cell r="P464" t="str">
            <v>idFVDU@jbr.indomaret.co.id</v>
          </cell>
          <cell r="Q464" t="str">
            <v>KAB. BANYUWANGI</v>
          </cell>
          <cell r="R464" t="str">
            <v>SDS</v>
          </cell>
        </row>
        <row r="465">
          <cell r="D465" t="str">
            <v>FWOL</v>
          </cell>
          <cell r="E465" t="str">
            <v>IKAN PAUS</v>
          </cell>
          <cell r="F465" t="str">
            <v>JEMBER</v>
          </cell>
          <cell r="G465" t="str">
            <v>F</v>
          </cell>
          <cell r="H465">
            <v>45590</v>
          </cell>
          <cell r="I465" t="str">
            <v xml:space="preserve">STANDARD </v>
          </cell>
          <cell r="J465">
            <v>1993000292</v>
          </cell>
          <cell r="K465" t="str">
            <v>SUGENG SANTOSO</v>
          </cell>
          <cell r="L465" t="str">
            <v>SSO</v>
          </cell>
          <cell r="M465">
            <v>2011012567</v>
          </cell>
          <cell r="N465" t="str">
            <v>MAURIDE EGO PUTRA</v>
          </cell>
          <cell r="O465" t="str">
            <v>MEP</v>
          </cell>
          <cell r="P465" t="str">
            <v>idFWOL@jbr.indomaret.co.id</v>
          </cell>
          <cell r="Q465" t="str">
            <v>KAB. BANYUWANGI</v>
          </cell>
          <cell r="R465" t="str">
            <v>SDS</v>
          </cell>
        </row>
        <row r="466">
          <cell r="D466" t="str">
            <v>FYUU</v>
          </cell>
          <cell r="E466" t="str">
            <v>SONGGON - BANYUWANGI</v>
          </cell>
          <cell r="F466" t="str">
            <v>JEMBER</v>
          </cell>
          <cell r="G466" t="str">
            <v>F</v>
          </cell>
          <cell r="H466">
            <v>45627</v>
          </cell>
          <cell r="I466" t="str">
            <v xml:space="preserve">STANDARD </v>
          </cell>
          <cell r="J466">
            <v>1993000292</v>
          </cell>
          <cell r="K466" t="str">
            <v>SUGENG SANTOSO</v>
          </cell>
          <cell r="L466" t="str">
            <v>SSO</v>
          </cell>
          <cell r="M466">
            <v>2011012567</v>
          </cell>
          <cell r="N466" t="str">
            <v>MAURIDE EGO PUTRA</v>
          </cell>
          <cell r="O466" t="str">
            <v>MEP</v>
          </cell>
          <cell r="P466" t="str">
            <v>idFYUU@jbr.indomaret.co.id</v>
          </cell>
          <cell r="Q466" t="str">
            <v>KAB. BANYUWANGI</v>
          </cell>
          <cell r="R466" t="str">
            <v>SDS</v>
          </cell>
        </row>
        <row r="467">
          <cell r="D467" t="str">
            <v>T654</v>
          </cell>
          <cell r="E467" t="str">
            <v>ROGOJAMPI</v>
          </cell>
          <cell r="F467" t="str">
            <v>JEMBER</v>
          </cell>
          <cell r="G467" t="str">
            <v>R</v>
          </cell>
          <cell r="H467">
            <v>38254</v>
          </cell>
          <cell r="I467" t="str">
            <v>STANDARD NEW</v>
          </cell>
          <cell r="J467">
            <v>1993000292</v>
          </cell>
          <cell r="K467" t="str">
            <v>SUGENG SANTOSO</v>
          </cell>
          <cell r="L467" t="str">
            <v>SSO</v>
          </cell>
          <cell r="M467">
            <v>2011012567</v>
          </cell>
          <cell r="N467" t="str">
            <v>MAURIDE EGO PUTRA</v>
          </cell>
          <cell r="O467" t="str">
            <v>MEP</v>
          </cell>
          <cell r="P467" t="str">
            <v>idmT654@jbr.indomaret.co.id</v>
          </cell>
          <cell r="Q467" t="str">
            <v>KAB. BANYUWANGI</v>
          </cell>
          <cell r="R467" t="str">
            <v>SDN</v>
          </cell>
        </row>
        <row r="468">
          <cell r="D468" t="str">
            <v>TAL3</v>
          </cell>
          <cell r="E468" t="str">
            <v>ROGOJAMPI 2</v>
          </cell>
          <cell r="F468" t="str">
            <v>JEMBER</v>
          </cell>
          <cell r="G468" t="str">
            <v>R</v>
          </cell>
          <cell r="H468">
            <v>40021</v>
          </cell>
          <cell r="I468" t="str">
            <v>STANDARD NEW</v>
          </cell>
          <cell r="J468">
            <v>1993000292</v>
          </cell>
          <cell r="K468" t="str">
            <v>SUGENG SANTOSO</v>
          </cell>
          <cell r="L468" t="str">
            <v>SSO</v>
          </cell>
          <cell r="M468">
            <v>2011012567</v>
          </cell>
          <cell r="N468" t="str">
            <v>MAURIDE EGO PUTRA</v>
          </cell>
          <cell r="O468" t="str">
            <v>MEP</v>
          </cell>
          <cell r="P468" t="str">
            <v>idmTAL3@jbr.indomaret.co.id</v>
          </cell>
          <cell r="Q468" t="str">
            <v>KAB. BANYUWANGI</v>
          </cell>
          <cell r="R468" t="str">
            <v>SDN</v>
          </cell>
        </row>
        <row r="469">
          <cell r="D469" t="str">
            <v>F3W8</v>
          </cell>
          <cell r="E469" t="str">
            <v>BRAWIJAYA 9B</v>
          </cell>
          <cell r="F469" t="str">
            <v>JEMBER</v>
          </cell>
          <cell r="G469" t="str">
            <v>F</v>
          </cell>
          <cell r="H469">
            <v>45199</v>
          </cell>
          <cell r="I469" t="str">
            <v xml:space="preserve">STANDARD </v>
          </cell>
          <cell r="J469">
            <v>1993000292</v>
          </cell>
          <cell r="K469" t="str">
            <v>SUGENG SANTOSO</v>
          </cell>
          <cell r="L469" t="str">
            <v>SSO</v>
          </cell>
          <cell r="M469">
            <v>2007414250</v>
          </cell>
          <cell r="N469" t="str">
            <v>OKY ARSI SYAEBANI</v>
          </cell>
          <cell r="O469" t="str">
            <v>OSI</v>
          </cell>
          <cell r="P469" t="str">
            <v>idF3W8@jbr.indomaret.co.id</v>
          </cell>
          <cell r="Q469" t="str">
            <v>KAB. BANYUWANGI</v>
          </cell>
          <cell r="R469" t="str">
            <v>SDS</v>
          </cell>
        </row>
        <row r="470">
          <cell r="D470" t="str">
            <v>F3XB</v>
          </cell>
          <cell r="E470" t="str">
            <v>GRIYA PESONA WONGSOREJO</v>
          </cell>
          <cell r="F470" t="str">
            <v>JEMBER</v>
          </cell>
          <cell r="G470" t="str">
            <v>F</v>
          </cell>
          <cell r="H470">
            <v>46010</v>
          </cell>
          <cell r="I470" t="str">
            <v xml:space="preserve">STANDARD </v>
          </cell>
          <cell r="J470">
            <v>1993000292</v>
          </cell>
          <cell r="K470" t="str">
            <v>SUGENG SANTOSO</v>
          </cell>
          <cell r="L470" t="str">
            <v>SSO</v>
          </cell>
          <cell r="M470">
            <v>2007414250</v>
          </cell>
          <cell r="N470" t="str">
            <v>OKY ARSI SYAEBANI</v>
          </cell>
          <cell r="O470" t="str">
            <v>OSI</v>
          </cell>
          <cell r="P470" t="str">
            <v>idF3XB@jbr.indomaret.co.id</v>
          </cell>
          <cell r="Q470" t="str">
            <v>KAB. BANYUWANGI</v>
          </cell>
          <cell r="R470" t="str">
            <v>SDS</v>
          </cell>
        </row>
        <row r="471">
          <cell r="D471" t="str">
            <v>F6EV</v>
          </cell>
          <cell r="E471" t="str">
            <v>RAYA LICIN</v>
          </cell>
          <cell r="F471" t="str">
            <v>JEMBER</v>
          </cell>
          <cell r="G471" t="str">
            <v>F</v>
          </cell>
          <cell r="H471">
            <v>46010</v>
          </cell>
          <cell r="I471" t="str">
            <v xml:space="preserve">STANDARD </v>
          </cell>
          <cell r="J471">
            <v>1993000292</v>
          </cell>
          <cell r="K471" t="str">
            <v>SUGENG SANTOSO</v>
          </cell>
          <cell r="L471" t="str">
            <v>SSO</v>
          </cell>
          <cell r="M471">
            <v>2007414250</v>
          </cell>
          <cell r="N471" t="str">
            <v>OKY ARSI SYAEBANI</v>
          </cell>
          <cell r="O471" t="str">
            <v>OSI</v>
          </cell>
          <cell r="P471" t="str">
            <v>idF6EV@jbr.indomaret.co.id</v>
          </cell>
          <cell r="Q471" t="str">
            <v>KAB. BANYUWANGI</v>
          </cell>
          <cell r="R471" t="str">
            <v>SDS</v>
          </cell>
        </row>
        <row r="472">
          <cell r="D472" t="str">
            <v>F97F</v>
          </cell>
          <cell r="E472" t="str">
            <v>ISTIQLAH-BANYUWANGI</v>
          </cell>
          <cell r="F472" t="str">
            <v>JEMBER</v>
          </cell>
          <cell r="G472" t="str">
            <v>F</v>
          </cell>
          <cell r="H472">
            <v>45658</v>
          </cell>
          <cell r="I472" t="str">
            <v xml:space="preserve">STANDARD </v>
          </cell>
          <cell r="J472">
            <v>1993000292</v>
          </cell>
          <cell r="K472" t="str">
            <v>SUGENG SANTOSO</v>
          </cell>
          <cell r="L472" t="str">
            <v>SSO</v>
          </cell>
          <cell r="M472">
            <v>2007414250</v>
          </cell>
          <cell r="N472" t="str">
            <v>OKY ARSI SYAEBANI</v>
          </cell>
          <cell r="O472" t="str">
            <v>OSI</v>
          </cell>
          <cell r="P472" t="str">
            <v>idF97F@jbr.indomaret.co.id</v>
          </cell>
          <cell r="Q472" t="str">
            <v>KAB. BANYUWANGI</v>
          </cell>
          <cell r="R472" t="str">
            <v>SDS</v>
          </cell>
        </row>
        <row r="473">
          <cell r="D473" t="str">
            <v>FAEE</v>
          </cell>
          <cell r="E473" t="str">
            <v>WONOREJO BALURAN</v>
          </cell>
          <cell r="F473" t="str">
            <v>JEMBER</v>
          </cell>
          <cell r="G473" t="str">
            <v>F</v>
          </cell>
          <cell r="H473">
            <v>45440</v>
          </cell>
          <cell r="I473" t="str">
            <v xml:space="preserve">STANDARD </v>
          </cell>
          <cell r="J473">
            <v>1993000292</v>
          </cell>
          <cell r="K473" t="str">
            <v>SUGENG SANTOSO</v>
          </cell>
          <cell r="L473" t="str">
            <v>SSO</v>
          </cell>
          <cell r="M473">
            <v>2007414250</v>
          </cell>
          <cell r="N473" t="str">
            <v>OKY ARSI SYAEBANI</v>
          </cell>
          <cell r="O473" t="str">
            <v>OSI</v>
          </cell>
          <cell r="P473" t="str">
            <v>idFAEE@jbr.indomaret.co.id</v>
          </cell>
          <cell r="Q473" t="str">
            <v>KAB. SITUBONDO</v>
          </cell>
          <cell r="R473" t="str">
            <v>SDS</v>
          </cell>
        </row>
        <row r="474">
          <cell r="D474" t="str">
            <v>FGIR</v>
          </cell>
          <cell r="E474" t="str">
            <v>TOKO JAYA BERSAMA</v>
          </cell>
          <cell r="F474" t="str">
            <v>JEMBER</v>
          </cell>
          <cell r="G474" t="str">
            <v>F</v>
          </cell>
          <cell r="H474">
            <v>44705</v>
          </cell>
          <cell r="I474" t="str">
            <v xml:space="preserve">STANDARD </v>
          </cell>
          <cell r="J474">
            <v>1993000292</v>
          </cell>
          <cell r="K474" t="str">
            <v>SUGENG SANTOSO</v>
          </cell>
          <cell r="L474" t="str">
            <v>SSO</v>
          </cell>
          <cell r="M474">
            <v>2007414250</v>
          </cell>
          <cell r="N474" t="str">
            <v>OKY ARSI SYAEBANI</v>
          </cell>
          <cell r="O474" t="str">
            <v>OSI</v>
          </cell>
          <cell r="P474" t="str">
            <v>idFGIR@jbr.indomaret.co.id</v>
          </cell>
          <cell r="Q474" t="str">
            <v>KAB. BANYUWANGI</v>
          </cell>
          <cell r="R474" t="str">
            <v>SDS</v>
          </cell>
        </row>
        <row r="475">
          <cell r="D475" t="str">
            <v>FIVI</v>
          </cell>
          <cell r="E475" t="str">
            <v>GATSU KETAPANG - BWI</v>
          </cell>
          <cell r="F475" t="str">
            <v>JEMBER</v>
          </cell>
          <cell r="G475" t="str">
            <v>F</v>
          </cell>
          <cell r="H475">
            <v>45868</v>
          </cell>
          <cell r="I475" t="str">
            <v xml:space="preserve">STANDARD </v>
          </cell>
          <cell r="J475">
            <v>1993000292</v>
          </cell>
          <cell r="K475" t="str">
            <v>SUGENG SANTOSO</v>
          </cell>
          <cell r="L475" t="str">
            <v>SSO</v>
          </cell>
          <cell r="M475">
            <v>2007414250</v>
          </cell>
          <cell r="N475" t="str">
            <v>OKY ARSI SYAEBANI</v>
          </cell>
          <cell r="O475" t="str">
            <v>OSI</v>
          </cell>
          <cell r="P475" t="str">
            <v>idFIVI@jbr.indomaret.co.id</v>
          </cell>
          <cell r="Q475" t="str">
            <v>KAB. BANYUWANGI</v>
          </cell>
          <cell r="R475" t="str">
            <v>SDS</v>
          </cell>
        </row>
        <row r="476">
          <cell r="D476" t="str">
            <v>T691</v>
          </cell>
          <cell r="E476" t="str">
            <v>KETAPANG BANYUWANGI</v>
          </cell>
          <cell r="F476" t="str">
            <v>JEMBER</v>
          </cell>
          <cell r="G476" t="str">
            <v>R</v>
          </cell>
          <cell r="H476">
            <v>38486</v>
          </cell>
          <cell r="I476" t="str">
            <v>STANDARD NEW</v>
          </cell>
          <cell r="J476">
            <v>1993000292</v>
          </cell>
          <cell r="K476" t="str">
            <v>SUGENG SANTOSO</v>
          </cell>
          <cell r="L476" t="str">
            <v>SSO</v>
          </cell>
          <cell r="M476">
            <v>2007414250</v>
          </cell>
          <cell r="N476" t="str">
            <v>OKY ARSI SYAEBANI</v>
          </cell>
          <cell r="O476" t="str">
            <v>OSI</v>
          </cell>
          <cell r="P476" t="str">
            <v>idmT691@jbr.indomaret.co.id</v>
          </cell>
          <cell r="Q476" t="str">
            <v>KAB. BANYUWANGI</v>
          </cell>
          <cell r="R476" t="str">
            <v>SDN</v>
          </cell>
        </row>
        <row r="477">
          <cell r="D477" t="str">
            <v>TA34</v>
          </cell>
          <cell r="E477" t="str">
            <v>SUKOWIDI</v>
          </cell>
          <cell r="F477" t="str">
            <v>JEMBER</v>
          </cell>
          <cell r="G477" t="str">
            <v>R</v>
          </cell>
          <cell r="H477">
            <v>39135</v>
          </cell>
          <cell r="I477" t="str">
            <v>STANDARD NEW</v>
          </cell>
          <cell r="J477">
            <v>1993000292</v>
          </cell>
          <cell r="K477" t="str">
            <v>SUGENG SANTOSO</v>
          </cell>
          <cell r="L477" t="str">
            <v>SSO</v>
          </cell>
          <cell r="M477">
            <v>2007414250</v>
          </cell>
          <cell r="N477" t="str">
            <v>OKY ARSI SYAEBANI</v>
          </cell>
          <cell r="O477" t="str">
            <v>OSI</v>
          </cell>
          <cell r="P477" t="str">
            <v>idmTA34@jbr.indomaret.co.id</v>
          </cell>
          <cell r="Q477" t="str">
            <v>KAB. BANYUWANGI</v>
          </cell>
          <cell r="R477" t="str">
            <v>SDN</v>
          </cell>
        </row>
        <row r="478">
          <cell r="D478" t="str">
            <v>TCK0</v>
          </cell>
          <cell r="E478" t="str">
            <v>GATOT SUBROTO KETAPANG</v>
          </cell>
          <cell r="F478" t="str">
            <v>JEMBER</v>
          </cell>
          <cell r="G478" t="str">
            <v>R</v>
          </cell>
          <cell r="H478">
            <v>40268</v>
          </cell>
          <cell r="I478" t="str">
            <v>STANDARD NEW</v>
          </cell>
          <cell r="J478">
            <v>1993000292</v>
          </cell>
          <cell r="K478" t="str">
            <v>SUGENG SANTOSO</v>
          </cell>
          <cell r="L478" t="str">
            <v>SSO</v>
          </cell>
          <cell r="M478">
            <v>2007414250</v>
          </cell>
          <cell r="N478" t="str">
            <v>OKY ARSI SYAEBANI</v>
          </cell>
          <cell r="O478" t="str">
            <v>OSI</v>
          </cell>
          <cell r="P478" t="str">
            <v>idmTCK0@jbr.indomaret.co.id</v>
          </cell>
          <cell r="Q478" t="str">
            <v>KAB. BANYUWANGI</v>
          </cell>
          <cell r="R478" t="str">
            <v>SDN</v>
          </cell>
        </row>
        <row r="479">
          <cell r="D479" t="str">
            <v>TENY</v>
          </cell>
          <cell r="E479" t="str">
            <v>WONGSOREJO - BANYUWANGI</v>
          </cell>
          <cell r="F479" t="str">
            <v>JEMBER</v>
          </cell>
          <cell r="G479" t="str">
            <v>R</v>
          </cell>
          <cell r="H479">
            <v>41974</v>
          </cell>
          <cell r="I479" t="str">
            <v>STANDARD NEW</v>
          </cell>
          <cell r="J479">
            <v>1993000292</v>
          </cell>
          <cell r="K479" t="str">
            <v>SUGENG SANTOSO</v>
          </cell>
          <cell r="L479" t="str">
            <v>SSO</v>
          </cell>
          <cell r="M479">
            <v>2007414250</v>
          </cell>
          <cell r="N479" t="str">
            <v>OKY ARSI SYAEBANI</v>
          </cell>
          <cell r="O479" t="str">
            <v>OSI</v>
          </cell>
          <cell r="P479" t="str">
            <v>idmTENY@jbr.indomaret.co.id</v>
          </cell>
          <cell r="Q479" t="str">
            <v>KAB. BANYUWANGI</v>
          </cell>
          <cell r="R479" t="str">
            <v>SDN</v>
          </cell>
        </row>
        <row r="480">
          <cell r="D480" t="str">
            <v>TUPR</v>
          </cell>
          <cell r="E480" t="str">
            <v>SIDODADI - BANYUWANGI</v>
          </cell>
          <cell r="F480" t="str">
            <v>JEMBER</v>
          </cell>
          <cell r="G480" t="str">
            <v>R</v>
          </cell>
          <cell r="H480">
            <v>42125</v>
          </cell>
          <cell r="I480" t="str">
            <v>STANDARD NEW</v>
          </cell>
          <cell r="J480">
            <v>1993000292</v>
          </cell>
          <cell r="K480" t="str">
            <v>SUGENG SANTOSO</v>
          </cell>
          <cell r="L480" t="str">
            <v>SSO</v>
          </cell>
          <cell r="M480">
            <v>2007414250</v>
          </cell>
          <cell r="N480" t="str">
            <v>OKY ARSI SYAEBANI</v>
          </cell>
          <cell r="O480" t="str">
            <v>OSI</v>
          </cell>
          <cell r="P480" t="str">
            <v>idmTUPR@jbr.indomaret.co.id</v>
          </cell>
          <cell r="Q480" t="str">
            <v>KAB. BANYUWANGI</v>
          </cell>
          <cell r="R480" t="str">
            <v>SDN</v>
          </cell>
        </row>
        <row r="481">
          <cell r="D481" t="str">
            <v>F25C</v>
          </cell>
          <cell r="E481" t="str">
            <v>KEDUNGREJO</v>
          </cell>
          <cell r="F481" t="str">
            <v>JEMBER</v>
          </cell>
          <cell r="G481" t="str">
            <v>F</v>
          </cell>
          <cell r="H481">
            <v>45261</v>
          </cell>
          <cell r="I481" t="str">
            <v xml:space="preserve">STANDARD </v>
          </cell>
          <cell r="J481">
            <v>1993000292</v>
          </cell>
          <cell r="K481" t="str">
            <v>SUGENG SANTOSO</v>
          </cell>
          <cell r="L481" t="str">
            <v>SSO</v>
          </cell>
          <cell r="M481">
            <v>2012102602</v>
          </cell>
          <cell r="N481" t="str">
            <v>WENDRI RAYA SUPRIYADI</v>
          </cell>
          <cell r="O481" t="str">
            <v>WRI</v>
          </cell>
          <cell r="P481" t="str">
            <v>idF25C@jbr.indomaret.co.id</v>
          </cell>
          <cell r="Q481" t="str">
            <v>KAB. BANYUWANGI</v>
          </cell>
          <cell r="R481" t="str">
            <v>SDS</v>
          </cell>
        </row>
        <row r="482">
          <cell r="D482" t="str">
            <v>F94C</v>
          </cell>
          <cell r="E482" t="str">
            <v>GENDOH _ BANYUWANGI</v>
          </cell>
          <cell r="F482" t="str">
            <v>JEMBER</v>
          </cell>
          <cell r="G482" t="str">
            <v>F</v>
          </cell>
          <cell r="H482">
            <v>45352</v>
          </cell>
          <cell r="I482" t="str">
            <v xml:space="preserve">STANDARD </v>
          </cell>
          <cell r="J482">
            <v>1993000292</v>
          </cell>
          <cell r="K482" t="str">
            <v>SUGENG SANTOSO</v>
          </cell>
          <cell r="L482" t="str">
            <v>SSO</v>
          </cell>
          <cell r="M482">
            <v>2012102602</v>
          </cell>
          <cell r="N482" t="str">
            <v>WENDRI RAYA SUPRIYADI</v>
          </cell>
          <cell r="O482" t="str">
            <v>WRI</v>
          </cell>
          <cell r="P482" t="str">
            <v>idF94C@jbr.indomaret.co.id</v>
          </cell>
          <cell r="Q482" t="str">
            <v>KAB. BANYUWANGI</v>
          </cell>
          <cell r="R482" t="str">
            <v>SDS</v>
          </cell>
        </row>
        <row r="483">
          <cell r="D483" t="str">
            <v>FJJI</v>
          </cell>
          <cell r="E483" t="str">
            <v>HASANUDDIN KM 5</v>
          </cell>
          <cell r="F483" t="str">
            <v>JEMBER</v>
          </cell>
          <cell r="G483" t="str">
            <v>F</v>
          </cell>
          <cell r="H483">
            <v>45409</v>
          </cell>
          <cell r="I483" t="str">
            <v xml:space="preserve">STANDARD </v>
          </cell>
          <cell r="J483">
            <v>1993000292</v>
          </cell>
          <cell r="K483" t="str">
            <v>SUGENG SANTOSO</v>
          </cell>
          <cell r="L483" t="str">
            <v>SSO</v>
          </cell>
          <cell r="M483">
            <v>2012102602</v>
          </cell>
          <cell r="N483" t="str">
            <v>WENDRI RAYA SUPRIYADI</v>
          </cell>
          <cell r="O483" t="str">
            <v>WRI</v>
          </cell>
          <cell r="P483" t="str">
            <v>idFJJI@jbr.indomaret.co.id</v>
          </cell>
          <cell r="Q483" t="str">
            <v>KAB. BANYUWANGI</v>
          </cell>
          <cell r="R483" t="str">
            <v>SDS</v>
          </cell>
        </row>
        <row r="484">
          <cell r="D484" t="str">
            <v>FN1D</v>
          </cell>
          <cell r="E484" t="str">
            <v>ARUJI KARTAWINATA 80</v>
          </cell>
          <cell r="F484" t="str">
            <v>JEMBER</v>
          </cell>
          <cell r="G484" t="str">
            <v>F</v>
          </cell>
          <cell r="H484">
            <v>45199</v>
          </cell>
          <cell r="I484" t="str">
            <v xml:space="preserve">STANDARD </v>
          </cell>
          <cell r="J484">
            <v>1993000292</v>
          </cell>
          <cell r="K484" t="str">
            <v>SUGENG SANTOSO</v>
          </cell>
          <cell r="L484" t="str">
            <v>SSO</v>
          </cell>
          <cell r="M484">
            <v>2012102602</v>
          </cell>
          <cell r="N484" t="str">
            <v>WENDRI RAYA SUPRIYADI</v>
          </cell>
          <cell r="O484" t="str">
            <v>WRI</v>
          </cell>
          <cell r="P484" t="str">
            <v>idFN1D@jbr.indomaret.co.id</v>
          </cell>
          <cell r="Q484" t="str">
            <v>KAB. BANYUWANGI</v>
          </cell>
          <cell r="R484" t="str">
            <v>SDS</v>
          </cell>
        </row>
        <row r="485">
          <cell r="D485" t="str">
            <v>FP02</v>
          </cell>
          <cell r="E485" t="str">
            <v>SUMBER AYU</v>
          </cell>
          <cell r="F485" t="str">
            <v>JEMBER</v>
          </cell>
          <cell r="G485" t="str">
            <v>F</v>
          </cell>
          <cell r="H485">
            <v>45566</v>
          </cell>
          <cell r="I485" t="str">
            <v xml:space="preserve">STANDARD </v>
          </cell>
          <cell r="J485">
            <v>1993000292</v>
          </cell>
          <cell r="K485" t="str">
            <v>SUGENG SANTOSO</v>
          </cell>
          <cell r="L485" t="str">
            <v>SSO</v>
          </cell>
          <cell r="M485">
            <v>2012102602</v>
          </cell>
          <cell r="N485" t="str">
            <v>WENDRI RAYA SUPRIYADI</v>
          </cell>
          <cell r="O485" t="str">
            <v>WRI</v>
          </cell>
          <cell r="P485" t="str">
            <v>idFP02@jbr.indomaret.co.id</v>
          </cell>
          <cell r="Q485" t="str">
            <v>KAB. BANYUWANGI</v>
          </cell>
          <cell r="R485" t="str">
            <v>SDS</v>
          </cell>
        </row>
        <row r="486">
          <cell r="D486" t="str">
            <v>FPFB</v>
          </cell>
          <cell r="E486" t="str">
            <v>SUMBER BERAS</v>
          </cell>
          <cell r="F486" t="str">
            <v>JEMBER</v>
          </cell>
          <cell r="G486" t="str">
            <v>F</v>
          </cell>
          <cell r="H486">
            <v>45533</v>
          </cell>
          <cell r="I486" t="str">
            <v xml:space="preserve">STANDARD </v>
          </cell>
          <cell r="J486">
            <v>1993000292</v>
          </cell>
          <cell r="K486" t="str">
            <v>SUGENG SANTOSO</v>
          </cell>
          <cell r="L486" t="str">
            <v>SSO</v>
          </cell>
          <cell r="M486">
            <v>2012102602</v>
          </cell>
          <cell r="N486" t="str">
            <v>WENDRI RAYA SUPRIYADI</v>
          </cell>
          <cell r="O486" t="str">
            <v>WRI</v>
          </cell>
          <cell r="P486" t="str">
            <v>idFPFB@jbr.indomaret.co.id</v>
          </cell>
          <cell r="Q486" t="str">
            <v>KAB. BANYUWANGI</v>
          </cell>
          <cell r="R486" t="str">
            <v>SDS</v>
          </cell>
        </row>
        <row r="487">
          <cell r="D487" t="str">
            <v>FPI5</v>
          </cell>
          <cell r="E487" t="str">
            <v>MUNCAR BANYUWANGI</v>
          </cell>
          <cell r="F487" t="str">
            <v>JEMBER</v>
          </cell>
          <cell r="G487" t="str">
            <v>F</v>
          </cell>
          <cell r="H487">
            <v>44501</v>
          </cell>
          <cell r="I487" t="str">
            <v xml:space="preserve">STANDARD </v>
          </cell>
          <cell r="J487">
            <v>1993000292</v>
          </cell>
          <cell r="K487" t="str">
            <v>SUGENG SANTOSO</v>
          </cell>
          <cell r="L487" t="str">
            <v>SSO</v>
          </cell>
          <cell r="M487">
            <v>2012102602</v>
          </cell>
          <cell r="N487" t="str">
            <v>WENDRI RAYA SUPRIYADI</v>
          </cell>
          <cell r="O487" t="str">
            <v>WRI</v>
          </cell>
          <cell r="P487" t="str">
            <v>idFPI5@jbr.indomaret.co.id</v>
          </cell>
          <cell r="Q487" t="str">
            <v>KAB. BANYUWANGI</v>
          </cell>
          <cell r="R487" t="str">
            <v>SDS</v>
          </cell>
        </row>
        <row r="488">
          <cell r="D488" t="str">
            <v>FPNK</v>
          </cell>
          <cell r="E488" t="str">
            <v>RAYA TEMBOKREJO</v>
          </cell>
          <cell r="F488" t="str">
            <v>JEMBER</v>
          </cell>
          <cell r="G488" t="str">
            <v>F</v>
          </cell>
          <cell r="H488">
            <v>45582</v>
          </cell>
          <cell r="I488" t="str">
            <v xml:space="preserve">STANDARD </v>
          </cell>
          <cell r="J488">
            <v>1993000292</v>
          </cell>
          <cell r="K488" t="str">
            <v>SUGENG SANTOSO</v>
          </cell>
          <cell r="L488" t="str">
            <v>SSO</v>
          </cell>
          <cell r="M488">
            <v>2012102602</v>
          </cell>
          <cell r="N488" t="str">
            <v>WENDRI RAYA SUPRIYADI</v>
          </cell>
          <cell r="O488" t="str">
            <v>WRI</v>
          </cell>
          <cell r="P488" t="str">
            <v>idFPNK@jbr.indomaret.co.id</v>
          </cell>
          <cell r="Q488" t="str">
            <v>KAB. BANYUWANGI</v>
          </cell>
          <cell r="R488" t="str">
            <v>SDS</v>
          </cell>
        </row>
        <row r="489">
          <cell r="D489" t="str">
            <v>FTGA</v>
          </cell>
          <cell r="E489" t="str">
            <v>JAJAG BANYUWANGI</v>
          </cell>
          <cell r="F489" t="str">
            <v>JEMBER</v>
          </cell>
          <cell r="G489" t="str">
            <v>F</v>
          </cell>
          <cell r="H489">
            <v>45809</v>
          </cell>
          <cell r="I489" t="str">
            <v xml:space="preserve">STANDARD </v>
          </cell>
          <cell r="J489">
            <v>1993000292</v>
          </cell>
          <cell r="K489" t="str">
            <v>SUGENG SANTOSO</v>
          </cell>
          <cell r="L489" t="str">
            <v>SSO</v>
          </cell>
          <cell r="M489">
            <v>2012102602</v>
          </cell>
          <cell r="N489" t="str">
            <v>WENDRI RAYA SUPRIYADI</v>
          </cell>
          <cell r="O489" t="str">
            <v>WRI</v>
          </cell>
          <cell r="P489" t="str">
            <v>idFTGA@jbr.indomaret.co.id</v>
          </cell>
          <cell r="Q489" t="str">
            <v>KAB. BANYUWANGI</v>
          </cell>
          <cell r="R489" t="str">
            <v>SDS</v>
          </cell>
        </row>
        <row r="490">
          <cell r="D490" t="str">
            <v>FVLC</v>
          </cell>
          <cell r="E490" t="str">
            <v>RAYA SUMBERBERAS</v>
          </cell>
          <cell r="F490" t="str">
            <v>JEMBER</v>
          </cell>
          <cell r="G490" t="str">
            <v>F</v>
          </cell>
          <cell r="H490">
            <v>45987</v>
          </cell>
          <cell r="I490" t="str">
            <v xml:space="preserve">STANDARD </v>
          </cell>
          <cell r="J490">
            <v>1993000292</v>
          </cell>
          <cell r="K490" t="str">
            <v>SUGENG SANTOSO</v>
          </cell>
          <cell r="L490" t="str">
            <v>SSO</v>
          </cell>
          <cell r="M490">
            <v>2012102602</v>
          </cell>
          <cell r="N490" t="str">
            <v>WENDRI RAYA SUPRIYADI</v>
          </cell>
          <cell r="O490" t="str">
            <v>WRI</v>
          </cell>
          <cell r="P490" t="str">
            <v>idFVLC@jbr.indomaret.co.id</v>
          </cell>
          <cell r="Q490" t="str">
            <v>KAB. BANYUWANGI</v>
          </cell>
          <cell r="R490" t="str">
            <v>SDS</v>
          </cell>
        </row>
        <row r="491">
          <cell r="D491" t="str">
            <v>T08A</v>
          </cell>
          <cell r="E491" t="str">
            <v>MUNCAR 2</v>
          </cell>
          <cell r="F491" t="str">
            <v>JEMBER</v>
          </cell>
          <cell r="G491" t="str">
            <v>R</v>
          </cell>
          <cell r="H491">
            <v>39701</v>
          </cell>
          <cell r="I491" t="str">
            <v xml:space="preserve">STANDARD </v>
          </cell>
          <cell r="J491">
            <v>1993000292</v>
          </cell>
          <cell r="K491" t="str">
            <v>SUGENG SANTOSO</v>
          </cell>
          <cell r="L491" t="str">
            <v>SSO</v>
          </cell>
          <cell r="M491">
            <v>2012102602</v>
          </cell>
          <cell r="N491" t="str">
            <v>WENDRI RAYA SUPRIYADI</v>
          </cell>
          <cell r="O491" t="str">
            <v>WRI</v>
          </cell>
          <cell r="P491" t="str">
            <v>idmT08A@jbr.indomaret.co.id</v>
          </cell>
          <cell r="Q491" t="str">
            <v>KAB. BANYUWANGI</v>
          </cell>
          <cell r="R491" t="str">
            <v>SDS</v>
          </cell>
        </row>
        <row r="492">
          <cell r="D492" t="str">
            <v>TA09</v>
          </cell>
          <cell r="E492" t="str">
            <v>YOS SUDARSO</v>
          </cell>
          <cell r="F492" t="str">
            <v>JEMBER</v>
          </cell>
          <cell r="G492" t="str">
            <v>R</v>
          </cell>
          <cell r="H492">
            <v>38960</v>
          </cell>
          <cell r="I492" t="str">
            <v xml:space="preserve">STANDARD </v>
          </cell>
          <cell r="J492">
            <v>1993000292</v>
          </cell>
          <cell r="K492" t="str">
            <v>SUGENG SANTOSO</v>
          </cell>
          <cell r="L492" t="str">
            <v>SSO</v>
          </cell>
          <cell r="M492">
            <v>2012102602</v>
          </cell>
          <cell r="N492" t="str">
            <v>WENDRI RAYA SUPRIYADI</v>
          </cell>
          <cell r="O492" t="str">
            <v>WRI</v>
          </cell>
          <cell r="P492" t="str">
            <v>idmTA09@jbr.indomaret.co.id</v>
          </cell>
          <cell r="Q492" t="str">
            <v>KAB. BANYUWANGI</v>
          </cell>
          <cell r="R492" t="str">
            <v>SDS</v>
          </cell>
        </row>
        <row r="493">
          <cell r="D493" t="str">
            <v>TA11</v>
          </cell>
          <cell r="E493" t="str">
            <v>BENCULUK - BANYUWANGI</v>
          </cell>
          <cell r="F493" t="str">
            <v>JEMBER</v>
          </cell>
          <cell r="G493" t="str">
            <v>R</v>
          </cell>
          <cell r="H493">
            <v>38982</v>
          </cell>
          <cell r="I493" t="str">
            <v xml:space="preserve">STANDARD </v>
          </cell>
          <cell r="J493">
            <v>1993000292</v>
          </cell>
          <cell r="K493" t="str">
            <v>SUGENG SANTOSO</v>
          </cell>
          <cell r="L493" t="str">
            <v>SSO</v>
          </cell>
          <cell r="M493">
            <v>2012102602</v>
          </cell>
          <cell r="N493" t="str">
            <v>WENDRI RAYA SUPRIYADI</v>
          </cell>
          <cell r="O493" t="str">
            <v>WRI</v>
          </cell>
          <cell r="P493" t="str">
            <v>idmTA11@jbr.indomaret.co.id</v>
          </cell>
          <cell r="Q493" t="str">
            <v>KAB. BANYUWANGI</v>
          </cell>
          <cell r="R493" t="str">
            <v>SDS</v>
          </cell>
        </row>
        <row r="494">
          <cell r="D494" t="str">
            <v>F97A</v>
          </cell>
          <cell r="E494" t="str">
            <v>BALUNG 2</v>
          </cell>
          <cell r="F494" t="str">
            <v>JEMBER</v>
          </cell>
          <cell r="G494" t="str">
            <v>F</v>
          </cell>
          <cell r="H494">
            <v>45258</v>
          </cell>
          <cell r="I494" t="str">
            <v xml:space="preserve">STANDARD </v>
          </cell>
          <cell r="J494">
            <v>1997001826</v>
          </cell>
          <cell r="K494" t="str">
            <v>SURANTO</v>
          </cell>
          <cell r="L494" t="str">
            <v>SUR</v>
          </cell>
          <cell r="M494">
            <v>2003002660</v>
          </cell>
          <cell r="N494" t="str">
            <v>ARIS WIDIANTO</v>
          </cell>
          <cell r="O494" t="str">
            <v>AWO</v>
          </cell>
          <cell r="P494" t="str">
            <v>idF97A@jbr.indomaret.co.id</v>
          </cell>
          <cell r="Q494" t="str">
            <v>KAB. JEMBER</v>
          </cell>
          <cell r="R494" t="str">
            <v>SDS</v>
          </cell>
        </row>
        <row r="495">
          <cell r="D495" t="str">
            <v>FAZ1</v>
          </cell>
          <cell r="E495" t="str">
            <v>WULUHAN</v>
          </cell>
          <cell r="F495" t="str">
            <v>JEMBER</v>
          </cell>
          <cell r="G495" t="str">
            <v>F</v>
          </cell>
          <cell r="H495">
            <v>44378</v>
          </cell>
          <cell r="I495" t="str">
            <v xml:space="preserve">STANDARD </v>
          </cell>
          <cell r="J495">
            <v>1997001826</v>
          </cell>
          <cell r="K495" t="str">
            <v>SURANTO</v>
          </cell>
          <cell r="L495" t="str">
            <v>SUR</v>
          </cell>
          <cell r="M495">
            <v>2003002660</v>
          </cell>
          <cell r="N495" t="str">
            <v>ARIS WIDIANTO</v>
          </cell>
          <cell r="O495" t="str">
            <v>AWO</v>
          </cell>
          <cell r="P495" t="str">
            <v>idFAZ1@jbr.indomaret.co.id</v>
          </cell>
          <cell r="Q495" t="str">
            <v>KAB. JEMBER</v>
          </cell>
          <cell r="R495" t="str">
            <v>SDS</v>
          </cell>
        </row>
        <row r="496">
          <cell r="D496" t="str">
            <v>FNDI</v>
          </cell>
          <cell r="E496" t="str">
            <v>KERTONEGORO - JBR</v>
          </cell>
          <cell r="F496" t="str">
            <v>JEMBER</v>
          </cell>
          <cell r="G496" t="str">
            <v>F</v>
          </cell>
          <cell r="H496">
            <v>45778</v>
          </cell>
          <cell r="I496" t="str">
            <v xml:space="preserve">STANDARD </v>
          </cell>
          <cell r="J496">
            <v>1997001826</v>
          </cell>
          <cell r="K496" t="str">
            <v>SURANTO</v>
          </cell>
          <cell r="L496" t="str">
            <v>SUR</v>
          </cell>
          <cell r="M496">
            <v>2003002660</v>
          </cell>
          <cell r="N496" t="str">
            <v>ARIS WIDIANTO</v>
          </cell>
          <cell r="O496" t="str">
            <v>AWO</v>
          </cell>
          <cell r="P496" t="str">
            <v>idFNDI@jbr.indomaret.co.id</v>
          </cell>
          <cell r="Q496" t="str">
            <v>KAB. JEMBER</v>
          </cell>
          <cell r="R496" t="str">
            <v>SDS</v>
          </cell>
        </row>
        <row r="497">
          <cell r="D497" t="str">
            <v>FV1W</v>
          </cell>
          <cell r="E497" t="str">
            <v>KESILIR</v>
          </cell>
          <cell r="F497" t="str">
            <v>JEMBER</v>
          </cell>
          <cell r="G497" t="str">
            <v>F</v>
          </cell>
          <cell r="H497">
            <v>46171</v>
          </cell>
          <cell r="I497" t="str">
            <v>STANDARD NEW</v>
          </cell>
          <cell r="J497">
            <v>1997001826</v>
          </cell>
          <cell r="K497" t="str">
            <v>SURANTO</v>
          </cell>
          <cell r="L497" t="str">
            <v>SUR</v>
          </cell>
          <cell r="M497">
            <v>2003002660</v>
          </cell>
          <cell r="N497" t="str">
            <v>ARIS WIDIANTO</v>
          </cell>
          <cell r="O497" t="str">
            <v>AWO</v>
          </cell>
          <cell r="P497" t="str">
            <v>idFV1W@jbr.indomaret.co.id</v>
          </cell>
          <cell r="Q497" t="str">
            <v>KAB. JEMBER</v>
          </cell>
          <cell r="R497" t="str">
            <v>SDN</v>
          </cell>
        </row>
        <row r="498">
          <cell r="D498" t="str">
            <v>T18A</v>
          </cell>
          <cell r="E498" t="str">
            <v>WULUHAN 2</v>
          </cell>
          <cell r="F498" t="str">
            <v>JEMBER</v>
          </cell>
          <cell r="G498" t="str">
            <v>R</v>
          </cell>
          <cell r="H498">
            <v>39840</v>
          </cell>
          <cell r="I498" t="str">
            <v xml:space="preserve">STANDARD </v>
          </cell>
          <cell r="J498">
            <v>1997001826</v>
          </cell>
          <cell r="K498" t="str">
            <v>SURANTO</v>
          </cell>
          <cell r="L498" t="str">
            <v>SUR</v>
          </cell>
          <cell r="M498">
            <v>2003002660</v>
          </cell>
          <cell r="N498" t="str">
            <v>ARIS WIDIANTO</v>
          </cell>
          <cell r="O498" t="str">
            <v>AWO</v>
          </cell>
          <cell r="P498" t="str">
            <v>idmT18A@jbr.indomaret.co.id</v>
          </cell>
          <cell r="Q498" t="str">
            <v>KAB. JEMBER</v>
          </cell>
          <cell r="R498" t="str">
            <v>SDS</v>
          </cell>
        </row>
        <row r="499">
          <cell r="D499" t="str">
            <v>T3MT</v>
          </cell>
          <cell r="E499" t="str">
            <v>RAYA KARANGANYAR - JEMBER</v>
          </cell>
          <cell r="F499" t="str">
            <v>JEMBER</v>
          </cell>
          <cell r="G499" t="str">
            <v>R</v>
          </cell>
          <cell r="H499">
            <v>41455</v>
          </cell>
          <cell r="I499" t="str">
            <v xml:space="preserve">STANDARD </v>
          </cell>
          <cell r="J499">
            <v>1997001826</v>
          </cell>
          <cell r="K499" t="str">
            <v>SURANTO</v>
          </cell>
          <cell r="L499" t="str">
            <v>SUR</v>
          </cell>
          <cell r="M499">
            <v>2003002660</v>
          </cell>
          <cell r="N499" t="str">
            <v>ARIS WIDIANTO</v>
          </cell>
          <cell r="O499" t="str">
            <v>AWO</v>
          </cell>
          <cell r="P499" t="str">
            <v>idmT3MT@jbr.indomaret.co.id</v>
          </cell>
          <cell r="Q499" t="str">
            <v>KAB. JEMBER</v>
          </cell>
          <cell r="R499" t="str">
            <v>SDS</v>
          </cell>
        </row>
        <row r="500">
          <cell r="D500" t="str">
            <v>T639</v>
          </cell>
          <cell r="E500" t="str">
            <v>AMBULU</v>
          </cell>
          <cell r="F500" t="str">
            <v>JEMBER</v>
          </cell>
          <cell r="G500" t="str">
            <v>R</v>
          </cell>
          <cell r="H500">
            <v>37918</v>
          </cell>
          <cell r="I500" t="str">
            <v>STANDARD NEW</v>
          </cell>
          <cell r="J500">
            <v>1997001826</v>
          </cell>
          <cell r="K500" t="str">
            <v>SURANTO</v>
          </cell>
          <cell r="L500" t="str">
            <v>SUR</v>
          </cell>
          <cell r="M500">
            <v>2003002660</v>
          </cell>
          <cell r="N500" t="str">
            <v>ARIS WIDIANTO</v>
          </cell>
          <cell r="O500" t="str">
            <v>AWO</v>
          </cell>
          <cell r="P500" t="str">
            <v>idmT639@jbr.indomaret.co.id</v>
          </cell>
          <cell r="Q500" t="str">
            <v>KAB. JEMBER</v>
          </cell>
          <cell r="R500" t="str">
            <v>SDN</v>
          </cell>
        </row>
        <row r="501">
          <cell r="D501" t="str">
            <v>TAMQ</v>
          </cell>
          <cell r="E501" t="str">
            <v>JENGGAWAH</v>
          </cell>
          <cell r="F501" t="str">
            <v>JEMBER</v>
          </cell>
          <cell r="G501" t="str">
            <v>R</v>
          </cell>
          <cell r="H501">
            <v>43313</v>
          </cell>
          <cell r="I501" t="str">
            <v>STANDARD NEW</v>
          </cell>
          <cell r="J501">
            <v>1997001826</v>
          </cell>
          <cell r="K501" t="str">
            <v>SURANTO</v>
          </cell>
          <cell r="L501" t="str">
            <v>SUR</v>
          </cell>
          <cell r="M501">
            <v>2003002660</v>
          </cell>
          <cell r="N501" t="str">
            <v>ARIS WIDIANTO</v>
          </cell>
          <cell r="O501" t="str">
            <v>AWO</v>
          </cell>
          <cell r="P501" t="str">
            <v>idmTAMQ@jbr.indomaret.co.id</v>
          </cell>
          <cell r="Q501" t="str">
            <v>KAB. JEMBER</v>
          </cell>
          <cell r="R501" t="str">
            <v>SDN</v>
          </cell>
        </row>
        <row r="502">
          <cell r="D502" t="str">
            <v>TFFF</v>
          </cell>
          <cell r="E502" t="str">
            <v>DUKUH DEMPOK</v>
          </cell>
          <cell r="F502" t="str">
            <v>JEMBER</v>
          </cell>
          <cell r="G502" t="str">
            <v>R</v>
          </cell>
          <cell r="H502">
            <v>42273</v>
          </cell>
          <cell r="I502" t="str">
            <v xml:space="preserve">STANDARD </v>
          </cell>
          <cell r="J502">
            <v>1997001826</v>
          </cell>
          <cell r="K502" t="str">
            <v>SURANTO</v>
          </cell>
          <cell r="L502" t="str">
            <v>SUR</v>
          </cell>
          <cell r="M502">
            <v>2003002660</v>
          </cell>
          <cell r="N502" t="str">
            <v>ARIS WIDIANTO</v>
          </cell>
          <cell r="O502" t="str">
            <v>AWO</v>
          </cell>
          <cell r="P502" t="str">
            <v>idmTFFF@jbr.indomaret.co.id</v>
          </cell>
          <cell r="Q502" t="str">
            <v>KAB. JEMBER</v>
          </cell>
          <cell r="R502" t="str">
            <v>SDS</v>
          </cell>
        </row>
        <row r="503">
          <cell r="D503" t="str">
            <v>TGQT</v>
          </cell>
          <cell r="E503" t="str">
            <v>SABRANG</v>
          </cell>
          <cell r="F503" t="str">
            <v>JEMBER</v>
          </cell>
          <cell r="G503" t="str">
            <v>R</v>
          </cell>
          <cell r="H503">
            <v>42490</v>
          </cell>
          <cell r="I503" t="str">
            <v xml:space="preserve">STANDARD </v>
          </cell>
          <cell r="J503">
            <v>1997001826</v>
          </cell>
          <cell r="K503" t="str">
            <v>SURANTO</v>
          </cell>
          <cell r="L503" t="str">
            <v>SUR</v>
          </cell>
          <cell r="M503">
            <v>2003002660</v>
          </cell>
          <cell r="N503" t="str">
            <v>ARIS WIDIANTO</v>
          </cell>
          <cell r="O503" t="str">
            <v>AWO</v>
          </cell>
          <cell r="P503" t="str">
            <v>idmTGQT@jbr.indomaret.co.id</v>
          </cell>
          <cell r="Q503" t="str">
            <v>KAB. JEMBER</v>
          </cell>
          <cell r="R503" t="str">
            <v>SDS</v>
          </cell>
        </row>
        <row r="504">
          <cell r="D504" t="str">
            <v>THPN</v>
          </cell>
          <cell r="E504" t="str">
            <v>BALUNG KIDUL - JBR</v>
          </cell>
          <cell r="F504" t="str">
            <v>JEMBER</v>
          </cell>
          <cell r="G504" t="str">
            <v>R</v>
          </cell>
          <cell r="H504">
            <v>40907</v>
          </cell>
          <cell r="I504" t="str">
            <v xml:space="preserve">STANDARD </v>
          </cell>
          <cell r="J504">
            <v>1997001826</v>
          </cell>
          <cell r="K504" t="str">
            <v>SURANTO</v>
          </cell>
          <cell r="L504" t="str">
            <v>SUR</v>
          </cell>
          <cell r="M504">
            <v>2003002660</v>
          </cell>
          <cell r="N504" t="str">
            <v>ARIS WIDIANTO</v>
          </cell>
          <cell r="O504" t="str">
            <v>AWO</v>
          </cell>
          <cell r="P504" t="str">
            <v>idmTHPN@jbr.indomaret.co.id</v>
          </cell>
          <cell r="Q504" t="str">
            <v>KAB. JEMBER</v>
          </cell>
          <cell r="R504" t="str">
            <v>SDS</v>
          </cell>
        </row>
        <row r="505">
          <cell r="D505" t="str">
            <v>TSES</v>
          </cell>
          <cell r="E505" t="str">
            <v>WONOJATI JEMBER</v>
          </cell>
          <cell r="F505" t="str">
            <v>JEMBER</v>
          </cell>
          <cell r="G505" t="str">
            <v>R</v>
          </cell>
          <cell r="H505">
            <v>41628</v>
          </cell>
          <cell r="I505" t="str">
            <v xml:space="preserve">STANDARD </v>
          </cell>
          <cell r="J505">
            <v>1997001826</v>
          </cell>
          <cell r="K505" t="str">
            <v>SURANTO</v>
          </cell>
          <cell r="L505" t="str">
            <v>SUR</v>
          </cell>
          <cell r="M505">
            <v>2003002660</v>
          </cell>
          <cell r="N505" t="str">
            <v>ARIS WIDIANTO</v>
          </cell>
          <cell r="O505" t="str">
            <v>AWO</v>
          </cell>
          <cell r="P505" t="str">
            <v>idmTSES@jbr.indomaret.co.id</v>
          </cell>
          <cell r="Q505" t="str">
            <v>KAB. JEMBER</v>
          </cell>
          <cell r="R505" t="str">
            <v>SDS</v>
          </cell>
        </row>
        <row r="506">
          <cell r="D506" t="str">
            <v>TVDP</v>
          </cell>
          <cell r="E506" t="str">
            <v>KOTTA BLATER 59 JEMBER</v>
          </cell>
          <cell r="F506" t="str">
            <v>JEMBER</v>
          </cell>
          <cell r="G506" t="str">
            <v>R</v>
          </cell>
          <cell r="H506">
            <v>41628</v>
          </cell>
          <cell r="I506" t="str">
            <v xml:space="preserve">STANDARD </v>
          </cell>
          <cell r="J506">
            <v>1997001826</v>
          </cell>
          <cell r="K506" t="str">
            <v>SURANTO</v>
          </cell>
          <cell r="L506" t="str">
            <v>SUR</v>
          </cell>
          <cell r="M506">
            <v>2003002660</v>
          </cell>
          <cell r="N506" t="str">
            <v>ARIS WIDIANTO</v>
          </cell>
          <cell r="O506" t="str">
            <v>AWO</v>
          </cell>
          <cell r="P506" t="str">
            <v>idmTVDP@jbr.indomaret.co.id</v>
          </cell>
          <cell r="Q506" t="str">
            <v>KAB. JEMBER</v>
          </cell>
          <cell r="R506" t="str">
            <v>SDS</v>
          </cell>
        </row>
        <row r="507">
          <cell r="D507" t="str">
            <v>TZAB</v>
          </cell>
          <cell r="E507" t="str">
            <v>PERHUTANI AMBULU</v>
          </cell>
          <cell r="F507" t="str">
            <v>JEMBER</v>
          </cell>
          <cell r="G507" t="str">
            <v>R</v>
          </cell>
          <cell r="H507">
            <v>42053</v>
          </cell>
          <cell r="I507" t="str">
            <v xml:space="preserve">STANDARD </v>
          </cell>
          <cell r="J507">
            <v>1997001826</v>
          </cell>
          <cell r="K507" t="str">
            <v>SURANTO</v>
          </cell>
          <cell r="L507" t="str">
            <v>SUR</v>
          </cell>
          <cell r="M507">
            <v>2003002660</v>
          </cell>
          <cell r="N507" t="str">
            <v>ARIS WIDIANTO</v>
          </cell>
          <cell r="O507" t="str">
            <v>AWO</v>
          </cell>
          <cell r="P507" t="str">
            <v>idmTZAB@jbr.indomaret.co.id</v>
          </cell>
          <cell r="Q507" t="str">
            <v>KAB. JEMBER</v>
          </cell>
          <cell r="R507" t="str">
            <v>SDS</v>
          </cell>
        </row>
        <row r="508">
          <cell r="D508" t="str">
            <v>T97A</v>
          </cell>
          <cell r="E508" t="str">
            <v>GAJAH MADA - JEMBER</v>
          </cell>
          <cell r="F508" t="str">
            <v>JEMBER</v>
          </cell>
          <cell r="G508" t="str">
            <v>R</v>
          </cell>
          <cell r="H508">
            <v>39872</v>
          </cell>
          <cell r="I508" t="str">
            <v>STANDARD NEW</v>
          </cell>
          <cell r="J508">
            <v>1997001826</v>
          </cell>
          <cell r="K508" t="str">
            <v>SURANTO</v>
          </cell>
          <cell r="L508" t="str">
            <v>SUR</v>
          </cell>
          <cell r="M508">
            <v>2013193339</v>
          </cell>
          <cell r="N508" t="str">
            <v>HENGKI PRADANA</v>
          </cell>
          <cell r="O508" t="str">
            <v>HPA</v>
          </cell>
          <cell r="P508" t="str">
            <v>idmT97A@jbr.indomaret.co.id</v>
          </cell>
          <cell r="Q508" t="str">
            <v>KAB. JEMBER</v>
          </cell>
          <cell r="R508" t="str">
            <v>SDN</v>
          </cell>
        </row>
        <row r="509">
          <cell r="D509" t="str">
            <v>TBOS</v>
          </cell>
          <cell r="E509" t="str">
            <v>TERMINAL TAWANG ALUN</v>
          </cell>
          <cell r="F509" t="str">
            <v>JEMBER</v>
          </cell>
          <cell r="G509" t="str">
            <v>R</v>
          </cell>
          <cell r="H509">
            <v>42335</v>
          </cell>
          <cell r="I509" t="str">
            <v xml:space="preserve">STANDARD </v>
          </cell>
          <cell r="J509">
            <v>1997001826</v>
          </cell>
          <cell r="K509" t="str">
            <v>SURANTO</v>
          </cell>
          <cell r="L509" t="str">
            <v>SUR</v>
          </cell>
          <cell r="M509">
            <v>2013193339</v>
          </cell>
          <cell r="N509" t="str">
            <v>HENGKI PRADANA</v>
          </cell>
          <cell r="O509" t="str">
            <v>HPA</v>
          </cell>
          <cell r="P509" t="str">
            <v>idmTBOS@jbr.indomaret.co.id</v>
          </cell>
          <cell r="Q509" t="str">
            <v>KAB. JEMBER</v>
          </cell>
          <cell r="R509" t="str">
            <v>SDS</v>
          </cell>
        </row>
        <row r="510">
          <cell r="D510" t="str">
            <v>TERQ</v>
          </cell>
          <cell r="E510" t="str">
            <v>SUTOYO</v>
          </cell>
          <cell r="F510" t="str">
            <v>JEMBER</v>
          </cell>
          <cell r="G510" t="str">
            <v>R</v>
          </cell>
          <cell r="H510">
            <v>42521</v>
          </cell>
          <cell r="I510" t="str">
            <v xml:space="preserve">STANDARD </v>
          </cell>
          <cell r="J510">
            <v>1997001826</v>
          </cell>
          <cell r="K510" t="str">
            <v>SURANTO</v>
          </cell>
          <cell r="L510" t="str">
            <v>SUR</v>
          </cell>
          <cell r="M510">
            <v>2013193339</v>
          </cell>
          <cell r="N510" t="str">
            <v>HENGKI PRADANA</v>
          </cell>
          <cell r="O510" t="str">
            <v>HPA</v>
          </cell>
          <cell r="P510" t="str">
            <v>idmTERQ@jbr.indomaret.co.id</v>
          </cell>
          <cell r="Q510" t="str">
            <v>KAB. JEMBER</v>
          </cell>
          <cell r="R510" t="str">
            <v>SDS</v>
          </cell>
        </row>
        <row r="511">
          <cell r="D511" t="str">
            <v>TJAG</v>
          </cell>
          <cell r="E511" t="str">
            <v>TAWANG ALUN - JEMBER</v>
          </cell>
          <cell r="F511" t="str">
            <v>JEMBER</v>
          </cell>
          <cell r="G511" t="str">
            <v>R</v>
          </cell>
          <cell r="H511">
            <v>42095</v>
          </cell>
          <cell r="I511" t="str">
            <v xml:space="preserve">STANDARD </v>
          </cell>
          <cell r="J511">
            <v>1997001826</v>
          </cell>
          <cell r="K511" t="str">
            <v>SURANTO</v>
          </cell>
          <cell r="L511" t="str">
            <v>SUR</v>
          </cell>
          <cell r="M511">
            <v>2013193339</v>
          </cell>
          <cell r="N511" t="str">
            <v>HENGKI PRADANA</v>
          </cell>
          <cell r="O511" t="str">
            <v>HPA</v>
          </cell>
          <cell r="P511" t="str">
            <v>idmTJAG@jbr.indomaret.co.id</v>
          </cell>
          <cell r="Q511" t="str">
            <v>KAB. JEMBER</v>
          </cell>
          <cell r="R511" t="str">
            <v>SDS</v>
          </cell>
        </row>
        <row r="512">
          <cell r="D512" t="str">
            <v>TMLD</v>
          </cell>
          <cell r="E512" t="str">
            <v>LETJEND SUTOYO</v>
          </cell>
          <cell r="F512" t="str">
            <v>JEMBER</v>
          </cell>
          <cell r="G512" t="str">
            <v>R</v>
          </cell>
          <cell r="H512">
            <v>42336</v>
          </cell>
          <cell r="I512" t="str">
            <v xml:space="preserve">STANDARD </v>
          </cell>
          <cell r="J512">
            <v>1997001826</v>
          </cell>
          <cell r="K512" t="str">
            <v>SURANTO</v>
          </cell>
          <cell r="L512" t="str">
            <v>SUR</v>
          </cell>
          <cell r="M512">
            <v>2013193339</v>
          </cell>
          <cell r="N512" t="str">
            <v>HENGKI PRADANA</v>
          </cell>
          <cell r="O512" t="str">
            <v>HPA</v>
          </cell>
          <cell r="P512" t="str">
            <v>idmTMLD@jbr.indomaret.co.id</v>
          </cell>
          <cell r="Q512" t="str">
            <v>KAB. JEMBER</v>
          </cell>
          <cell r="R512" t="str">
            <v>SDS</v>
          </cell>
        </row>
        <row r="513">
          <cell r="D513" t="str">
            <v>TONY</v>
          </cell>
          <cell r="E513" t="str">
            <v>LETJEN SUPRAPTO 33</v>
          </cell>
          <cell r="F513" t="str">
            <v>JEMBER</v>
          </cell>
          <cell r="G513" t="str">
            <v>R</v>
          </cell>
          <cell r="H513">
            <v>44136</v>
          </cell>
          <cell r="I513" t="str">
            <v xml:space="preserve">STANDARD </v>
          </cell>
          <cell r="J513">
            <v>1997001826</v>
          </cell>
          <cell r="K513" t="str">
            <v>SURANTO</v>
          </cell>
          <cell r="L513" t="str">
            <v>SUR</v>
          </cell>
          <cell r="M513">
            <v>2013193339</v>
          </cell>
          <cell r="N513" t="str">
            <v>HENGKI PRADANA</v>
          </cell>
          <cell r="O513" t="str">
            <v>HPA</v>
          </cell>
          <cell r="P513" t="str">
            <v>idTONY@jbr.indomaret.co.id</v>
          </cell>
          <cell r="Q513" t="str">
            <v>KAB. JEMBER</v>
          </cell>
          <cell r="R513" t="str">
            <v>SDS</v>
          </cell>
        </row>
        <row r="514">
          <cell r="D514" t="str">
            <v>TOT2</v>
          </cell>
          <cell r="E514" t="str">
            <v>HAYAM WURUK 280 JEMBER</v>
          </cell>
          <cell r="F514" t="str">
            <v>JEMBER</v>
          </cell>
          <cell r="G514" t="str">
            <v>R</v>
          </cell>
          <cell r="H514">
            <v>41684</v>
          </cell>
          <cell r="I514" t="str">
            <v xml:space="preserve">STANDARD </v>
          </cell>
          <cell r="J514">
            <v>1997001826</v>
          </cell>
          <cell r="K514" t="str">
            <v>SURANTO</v>
          </cell>
          <cell r="L514" t="str">
            <v>SUR</v>
          </cell>
          <cell r="M514">
            <v>2013193339</v>
          </cell>
          <cell r="N514" t="str">
            <v>HENGKI PRADANA</v>
          </cell>
          <cell r="O514" t="str">
            <v>HPA</v>
          </cell>
          <cell r="P514" t="str">
            <v>idmTOT2@jbr.indomaret.co.id</v>
          </cell>
          <cell r="Q514" t="str">
            <v>KAB. JEMBER</v>
          </cell>
          <cell r="R514" t="str">
            <v>SDS</v>
          </cell>
        </row>
        <row r="515">
          <cell r="D515" t="str">
            <v>TRIO</v>
          </cell>
          <cell r="E515" t="str">
            <v>S PARMAN 28</v>
          </cell>
          <cell r="F515" t="str">
            <v>JEMBER</v>
          </cell>
          <cell r="G515" t="str">
            <v>R</v>
          </cell>
          <cell r="H515">
            <v>41725</v>
          </cell>
          <cell r="I515" t="str">
            <v xml:space="preserve">STANDARD </v>
          </cell>
          <cell r="J515">
            <v>1997001826</v>
          </cell>
          <cell r="K515" t="str">
            <v>SURANTO</v>
          </cell>
          <cell r="L515" t="str">
            <v>SUR</v>
          </cell>
          <cell r="M515">
            <v>2013193339</v>
          </cell>
          <cell r="N515" t="str">
            <v>HENGKI PRADANA</v>
          </cell>
          <cell r="O515" t="str">
            <v>HPA</v>
          </cell>
          <cell r="P515" t="str">
            <v>idmTRIO@jbr.indomaret.co.id</v>
          </cell>
          <cell r="Q515" t="str">
            <v>KAB. JEMBER</v>
          </cell>
          <cell r="R515" t="str">
            <v>SDS</v>
          </cell>
        </row>
        <row r="516">
          <cell r="D516" t="str">
            <v>TRT4</v>
          </cell>
          <cell r="E516" t="str">
            <v>RAYA PANJAITAN 133</v>
          </cell>
          <cell r="F516" t="str">
            <v>JEMBER</v>
          </cell>
          <cell r="G516" t="str">
            <v>R</v>
          </cell>
          <cell r="H516">
            <v>41177</v>
          </cell>
          <cell r="I516" t="str">
            <v xml:space="preserve">STANDARD </v>
          </cell>
          <cell r="J516">
            <v>1997001826</v>
          </cell>
          <cell r="K516" t="str">
            <v>SURANTO</v>
          </cell>
          <cell r="L516" t="str">
            <v>SUR</v>
          </cell>
          <cell r="M516">
            <v>2013193339</v>
          </cell>
          <cell r="N516" t="str">
            <v>HENGKI PRADANA</v>
          </cell>
          <cell r="O516" t="str">
            <v>HPA</v>
          </cell>
          <cell r="P516" t="str">
            <v>idmTRT4@jbr.indomaret.co.id</v>
          </cell>
          <cell r="Q516" t="str">
            <v>KAB. JEMBER</v>
          </cell>
          <cell r="R516" t="str">
            <v>SDS</v>
          </cell>
        </row>
        <row r="517">
          <cell r="D517" t="str">
            <v>TT2T</v>
          </cell>
          <cell r="E517" t="str">
            <v>KALIWATES JEMBER</v>
          </cell>
          <cell r="F517" t="str">
            <v>JEMBER</v>
          </cell>
          <cell r="G517" t="str">
            <v>R</v>
          </cell>
          <cell r="H517">
            <v>41604</v>
          </cell>
          <cell r="I517" t="str">
            <v xml:space="preserve">STANDARD </v>
          </cell>
          <cell r="J517">
            <v>1997001826</v>
          </cell>
          <cell r="K517" t="str">
            <v>SURANTO</v>
          </cell>
          <cell r="L517" t="str">
            <v>SUR</v>
          </cell>
          <cell r="M517">
            <v>2013193339</v>
          </cell>
          <cell r="N517" t="str">
            <v>HENGKI PRADANA</v>
          </cell>
          <cell r="O517" t="str">
            <v>HPA</v>
          </cell>
          <cell r="P517" t="str">
            <v>idmTT2T@jbr.indomaret.co.id</v>
          </cell>
          <cell r="Q517" t="str">
            <v>KAB. JEMBER</v>
          </cell>
          <cell r="R517" t="str">
            <v>SDS</v>
          </cell>
        </row>
        <row r="518">
          <cell r="D518" t="str">
            <v>TWIG</v>
          </cell>
          <cell r="E518" t="str">
            <v>RAYA BRAWIJAYA 59</v>
          </cell>
          <cell r="F518" t="str">
            <v>JEMBER</v>
          </cell>
          <cell r="G518" t="str">
            <v>R</v>
          </cell>
          <cell r="H518">
            <v>41391</v>
          </cell>
          <cell r="I518" t="str">
            <v xml:space="preserve">STANDARD </v>
          </cell>
          <cell r="J518">
            <v>1997001826</v>
          </cell>
          <cell r="K518" t="str">
            <v>SURANTO</v>
          </cell>
          <cell r="L518" t="str">
            <v>SUR</v>
          </cell>
          <cell r="M518">
            <v>2013193339</v>
          </cell>
          <cell r="N518" t="str">
            <v>HENGKI PRADANA</v>
          </cell>
          <cell r="O518" t="str">
            <v>HPA</v>
          </cell>
          <cell r="P518" t="str">
            <v>idmTWIG@jbr.indomaret.co.id</v>
          </cell>
          <cell r="Q518" t="str">
            <v>KAB. JEMBER</v>
          </cell>
          <cell r="R518" t="str">
            <v>SDS</v>
          </cell>
        </row>
        <row r="519">
          <cell r="D519" t="str">
            <v>TWW7</v>
          </cell>
          <cell r="E519" t="str">
            <v>MANGLI 89 - JEMBER</v>
          </cell>
          <cell r="F519" t="str">
            <v>JEMBER</v>
          </cell>
          <cell r="G519" t="str">
            <v>R</v>
          </cell>
          <cell r="H519">
            <v>41669</v>
          </cell>
          <cell r="I519" t="str">
            <v xml:space="preserve">STANDARD </v>
          </cell>
          <cell r="J519">
            <v>1997001826</v>
          </cell>
          <cell r="K519" t="str">
            <v>SURANTO</v>
          </cell>
          <cell r="L519" t="str">
            <v>SUR</v>
          </cell>
          <cell r="M519">
            <v>2013193339</v>
          </cell>
          <cell r="N519" t="str">
            <v>HENGKI PRADANA</v>
          </cell>
          <cell r="O519" t="str">
            <v>HPA</v>
          </cell>
          <cell r="P519" t="str">
            <v>idmTWW7@jbr.indomaret.co.id</v>
          </cell>
          <cell r="Q519" t="str">
            <v>KAB. JEMBER</v>
          </cell>
          <cell r="R519" t="str">
            <v>SDS</v>
          </cell>
        </row>
        <row r="520">
          <cell r="D520" t="str">
            <v>TXUS</v>
          </cell>
          <cell r="E520" t="str">
            <v>RAINBOW SQUARE</v>
          </cell>
          <cell r="F520" t="str">
            <v>JEMBER</v>
          </cell>
          <cell r="G520" t="str">
            <v>R</v>
          </cell>
          <cell r="H520">
            <v>42369</v>
          </cell>
          <cell r="I520" t="str">
            <v xml:space="preserve">STANDARD </v>
          </cell>
          <cell r="J520">
            <v>1997001826</v>
          </cell>
          <cell r="K520" t="str">
            <v>SURANTO</v>
          </cell>
          <cell r="L520" t="str">
            <v>SUR</v>
          </cell>
          <cell r="M520">
            <v>2013193339</v>
          </cell>
          <cell r="N520" t="str">
            <v>HENGKI PRADANA</v>
          </cell>
          <cell r="O520" t="str">
            <v>HPA</v>
          </cell>
          <cell r="P520" t="str">
            <v>idmTXUS@jbr.indomaret.co.id</v>
          </cell>
          <cell r="Q520" t="str">
            <v>KAB. JEMBER</v>
          </cell>
          <cell r="R520" t="str">
            <v>SDS</v>
          </cell>
        </row>
        <row r="521">
          <cell r="D521" t="str">
            <v>FFJC</v>
          </cell>
          <cell r="E521" t="str">
            <v>RAYA MANGGAR - JEMBER</v>
          </cell>
          <cell r="F521" t="str">
            <v>JEMBER</v>
          </cell>
          <cell r="G521" t="str">
            <v>F</v>
          </cell>
          <cell r="H521">
            <v>45901</v>
          </cell>
          <cell r="I521" t="str">
            <v xml:space="preserve">STANDARD </v>
          </cell>
          <cell r="J521">
            <v>1997001826</v>
          </cell>
          <cell r="K521" t="str">
            <v>SURANTO</v>
          </cell>
          <cell r="L521" t="str">
            <v>SUR</v>
          </cell>
          <cell r="M521">
            <v>2006008086</v>
          </cell>
          <cell r="N521" t="str">
            <v>IWAN HERMAWANTO</v>
          </cell>
          <cell r="O521" t="str">
            <v>IHO</v>
          </cell>
          <cell r="P521" t="str">
            <v>idmTNI1@jbr.indomaret.co.id</v>
          </cell>
          <cell r="Q521" t="str">
            <v>KAB. JEMBER</v>
          </cell>
          <cell r="R521" t="str">
            <v>SDS</v>
          </cell>
        </row>
        <row r="522">
          <cell r="D522" t="str">
            <v>FLOC</v>
          </cell>
          <cell r="E522" t="str">
            <v>DR.SOEBANDI 2</v>
          </cell>
          <cell r="F522" t="str">
            <v>JEMBER</v>
          </cell>
          <cell r="G522" t="str">
            <v>F</v>
          </cell>
          <cell r="H522">
            <v>45350</v>
          </cell>
          <cell r="I522" t="str">
            <v xml:space="preserve">STANDARD </v>
          </cell>
          <cell r="J522">
            <v>1997001826</v>
          </cell>
          <cell r="K522" t="str">
            <v>SURANTO</v>
          </cell>
          <cell r="L522" t="str">
            <v>SUR</v>
          </cell>
          <cell r="M522">
            <v>2006008086</v>
          </cell>
          <cell r="N522" t="str">
            <v>IWAN HERMAWANTO</v>
          </cell>
          <cell r="O522" t="str">
            <v>IHO</v>
          </cell>
          <cell r="P522" t="str">
            <v>idFLOC@jbr.indomaret.co.id</v>
          </cell>
          <cell r="Q522" t="str">
            <v>KAB. JEMBER</v>
          </cell>
          <cell r="R522" t="str">
            <v>SDS</v>
          </cell>
        </row>
        <row r="523">
          <cell r="D523" t="str">
            <v>T1P8</v>
          </cell>
          <cell r="E523" t="str">
            <v>WIROWONGSO</v>
          </cell>
          <cell r="F523" t="str">
            <v>JEMBER</v>
          </cell>
          <cell r="G523" t="str">
            <v>R</v>
          </cell>
          <cell r="H523">
            <v>40990</v>
          </cell>
          <cell r="I523" t="str">
            <v xml:space="preserve">STANDARD </v>
          </cell>
          <cell r="J523">
            <v>1997001826</v>
          </cell>
          <cell r="K523" t="str">
            <v>SURANTO</v>
          </cell>
          <cell r="L523" t="str">
            <v>SUR</v>
          </cell>
          <cell r="M523">
            <v>2006008086</v>
          </cell>
          <cell r="N523" t="str">
            <v>IWAN HERMAWANTO</v>
          </cell>
          <cell r="O523" t="str">
            <v>IHO</v>
          </cell>
          <cell r="P523" t="str">
            <v>idmT1P8@jbr.indomaret.co.id</v>
          </cell>
          <cell r="Q523" t="str">
            <v>KAB. JEMBER</v>
          </cell>
          <cell r="R523" t="str">
            <v>SDS</v>
          </cell>
        </row>
        <row r="524">
          <cell r="D524" t="str">
            <v>T2D4</v>
          </cell>
          <cell r="E524" t="str">
            <v>LUMBA-LUMBA - JBR</v>
          </cell>
          <cell r="F524" t="str">
            <v>JEMBER</v>
          </cell>
          <cell r="G524" t="str">
            <v>R</v>
          </cell>
          <cell r="H524">
            <v>41347</v>
          </cell>
          <cell r="I524" t="str">
            <v xml:space="preserve">STANDARD </v>
          </cell>
          <cell r="J524">
            <v>1997001826</v>
          </cell>
          <cell r="K524" t="str">
            <v>SURANTO</v>
          </cell>
          <cell r="L524" t="str">
            <v>SUR</v>
          </cell>
          <cell r="M524">
            <v>2006008086</v>
          </cell>
          <cell r="N524" t="str">
            <v>IWAN HERMAWANTO</v>
          </cell>
          <cell r="O524" t="str">
            <v>IHO</v>
          </cell>
          <cell r="P524" t="str">
            <v>idmT2D4@jbr.indomaret.co.id</v>
          </cell>
          <cell r="Q524" t="str">
            <v>KAB. JEMBER</v>
          </cell>
          <cell r="R524" t="str">
            <v>SDS</v>
          </cell>
        </row>
        <row r="525">
          <cell r="D525" t="str">
            <v>T3VL</v>
          </cell>
          <cell r="E525" t="str">
            <v>KENANGA - JBR</v>
          </cell>
          <cell r="F525" t="str">
            <v>JEMBER</v>
          </cell>
          <cell r="G525" t="str">
            <v>R</v>
          </cell>
          <cell r="H525">
            <v>40843</v>
          </cell>
          <cell r="I525" t="str">
            <v xml:space="preserve">STANDARD </v>
          </cell>
          <cell r="J525">
            <v>1997001826</v>
          </cell>
          <cell r="K525" t="str">
            <v>SURANTO</v>
          </cell>
          <cell r="L525" t="str">
            <v>SUR</v>
          </cell>
          <cell r="M525">
            <v>2006008086</v>
          </cell>
          <cell r="N525" t="str">
            <v>IWAN HERMAWANTO</v>
          </cell>
          <cell r="O525" t="str">
            <v>IHO</v>
          </cell>
          <cell r="P525" t="str">
            <v>idmT3VL@jbr.indomaret.co.id</v>
          </cell>
          <cell r="Q525" t="str">
            <v>KAB. JEMBER</v>
          </cell>
          <cell r="R525" t="str">
            <v>SDS</v>
          </cell>
        </row>
        <row r="526">
          <cell r="D526" t="str">
            <v>T7AL</v>
          </cell>
          <cell r="E526" t="str">
            <v>KACA PIRING -  JEMBER</v>
          </cell>
          <cell r="F526" t="str">
            <v>JEMBER</v>
          </cell>
          <cell r="G526" t="str">
            <v>R</v>
          </cell>
          <cell r="H526">
            <v>40117</v>
          </cell>
          <cell r="I526" t="str">
            <v xml:space="preserve">STANDARD </v>
          </cell>
          <cell r="J526">
            <v>1997001826</v>
          </cell>
          <cell r="K526" t="str">
            <v>SURANTO</v>
          </cell>
          <cell r="L526" t="str">
            <v>SUR</v>
          </cell>
          <cell r="M526">
            <v>2006008086</v>
          </cell>
          <cell r="N526" t="str">
            <v>IWAN HERMAWANTO</v>
          </cell>
          <cell r="O526" t="str">
            <v>IHO</v>
          </cell>
          <cell r="P526" t="str">
            <v>idmT7AL@jbr.indomaret.co.id</v>
          </cell>
          <cell r="Q526" t="str">
            <v>KAB. JEMBER</v>
          </cell>
          <cell r="R526" t="str">
            <v>SDS</v>
          </cell>
        </row>
        <row r="527">
          <cell r="D527" t="str">
            <v>TA9A</v>
          </cell>
          <cell r="E527" t="str">
            <v>UDANG WINDU</v>
          </cell>
          <cell r="F527" t="str">
            <v>JEMBER</v>
          </cell>
          <cell r="G527" t="str">
            <v>R</v>
          </cell>
          <cell r="H527">
            <v>40347</v>
          </cell>
          <cell r="I527" t="str">
            <v xml:space="preserve">STANDARD </v>
          </cell>
          <cell r="J527">
            <v>1997001826</v>
          </cell>
          <cell r="K527" t="str">
            <v>SURANTO</v>
          </cell>
          <cell r="L527" t="str">
            <v>SUR</v>
          </cell>
          <cell r="M527">
            <v>2006008086</v>
          </cell>
          <cell r="N527" t="str">
            <v>IWAN HERMAWANTO</v>
          </cell>
          <cell r="O527" t="str">
            <v>IHO</v>
          </cell>
          <cell r="P527" t="str">
            <v>idmTA9A@jbr.indomaret.co.id</v>
          </cell>
          <cell r="Q527" t="str">
            <v>KAB. JEMBER</v>
          </cell>
          <cell r="R527" t="str">
            <v>SDS</v>
          </cell>
        </row>
        <row r="528">
          <cell r="D528" t="str">
            <v>TCGR</v>
          </cell>
          <cell r="E528" t="str">
            <v>KREYONGAN SOEBANDI</v>
          </cell>
          <cell r="F528" t="str">
            <v>JEMBER</v>
          </cell>
          <cell r="G528" t="str">
            <v>R</v>
          </cell>
          <cell r="H528">
            <v>42369</v>
          </cell>
          <cell r="I528" t="str">
            <v xml:space="preserve">STANDARD </v>
          </cell>
          <cell r="J528">
            <v>1997001826</v>
          </cell>
          <cell r="K528" t="str">
            <v>SURANTO</v>
          </cell>
          <cell r="L528" t="str">
            <v>SUR</v>
          </cell>
          <cell r="M528">
            <v>2006008086</v>
          </cell>
          <cell r="N528" t="str">
            <v>IWAN HERMAWANTO</v>
          </cell>
          <cell r="O528" t="str">
            <v>IHO</v>
          </cell>
          <cell r="P528" t="str">
            <v>idmTCGR@jbr.indomaret.co.id</v>
          </cell>
          <cell r="Q528" t="str">
            <v>KAB. JEMBER</v>
          </cell>
          <cell r="R528" t="str">
            <v>SDS</v>
          </cell>
        </row>
        <row r="529">
          <cell r="D529" t="str">
            <v>TGHD</v>
          </cell>
          <cell r="E529" t="str">
            <v>GAJAH MADA 2 -  JBR</v>
          </cell>
          <cell r="F529" t="str">
            <v>JEMBER</v>
          </cell>
          <cell r="G529" t="str">
            <v>R</v>
          </cell>
          <cell r="H529">
            <v>40842</v>
          </cell>
          <cell r="I529" t="str">
            <v xml:space="preserve">STANDARD </v>
          </cell>
          <cell r="J529">
            <v>1997001826</v>
          </cell>
          <cell r="K529" t="str">
            <v>SURANTO</v>
          </cell>
          <cell r="L529" t="str">
            <v>SUR</v>
          </cell>
          <cell r="M529">
            <v>2006008086</v>
          </cell>
          <cell r="N529" t="str">
            <v>IWAN HERMAWANTO</v>
          </cell>
          <cell r="O529" t="str">
            <v>IHO</v>
          </cell>
          <cell r="P529" t="str">
            <v>idmTGHD@jbr.indomaret.co.id</v>
          </cell>
          <cell r="Q529" t="str">
            <v>KAB. JEMBER</v>
          </cell>
          <cell r="R529" t="str">
            <v>SDS</v>
          </cell>
        </row>
        <row r="530">
          <cell r="D530" t="str">
            <v>TLXH</v>
          </cell>
          <cell r="E530" t="str">
            <v>BASUKI RAHMAD</v>
          </cell>
          <cell r="F530" t="str">
            <v>JEMBER</v>
          </cell>
          <cell r="G530" t="str">
            <v>R</v>
          </cell>
          <cell r="H530">
            <v>41760</v>
          </cell>
          <cell r="I530" t="str">
            <v xml:space="preserve">STANDARD </v>
          </cell>
          <cell r="J530">
            <v>1997001826</v>
          </cell>
          <cell r="K530" t="str">
            <v>SURANTO</v>
          </cell>
          <cell r="L530" t="str">
            <v>SUR</v>
          </cell>
          <cell r="M530">
            <v>2006008086</v>
          </cell>
          <cell r="N530" t="str">
            <v>IWAN HERMAWANTO</v>
          </cell>
          <cell r="O530" t="str">
            <v>IHO</v>
          </cell>
          <cell r="P530" t="str">
            <v>idmTLXH@jbr.indomaret.co.id</v>
          </cell>
          <cell r="Q530" t="str">
            <v>KAB. JEMBER</v>
          </cell>
          <cell r="R530" t="str">
            <v>SDS</v>
          </cell>
        </row>
        <row r="531">
          <cell r="D531" t="str">
            <v>TTNN</v>
          </cell>
          <cell r="E531" t="str">
            <v>GEBANG KENANGA</v>
          </cell>
          <cell r="F531" t="str">
            <v>JEMBER</v>
          </cell>
          <cell r="G531" t="str">
            <v>R</v>
          </cell>
          <cell r="H531">
            <v>42367</v>
          </cell>
          <cell r="I531" t="str">
            <v xml:space="preserve">STANDARD </v>
          </cell>
          <cell r="J531">
            <v>1997001826</v>
          </cell>
          <cell r="K531" t="str">
            <v>SURANTO</v>
          </cell>
          <cell r="L531" t="str">
            <v>SUR</v>
          </cell>
          <cell r="M531">
            <v>2006008086</v>
          </cell>
          <cell r="N531" t="str">
            <v>IWAN HERMAWANTO</v>
          </cell>
          <cell r="O531" t="str">
            <v>IHO</v>
          </cell>
          <cell r="P531" t="str">
            <v>idmTTNN@jbr.indomaret.co.id</v>
          </cell>
          <cell r="Q531" t="str">
            <v>KAB. JEMBER</v>
          </cell>
          <cell r="R531" t="str">
            <v>SDS</v>
          </cell>
        </row>
        <row r="532">
          <cell r="D532" t="str">
            <v>TUTI</v>
          </cell>
          <cell r="E532" t="str">
            <v>BASUKI RAHMAD 77</v>
          </cell>
          <cell r="F532" t="str">
            <v>JEMBER</v>
          </cell>
          <cell r="G532" t="str">
            <v>R</v>
          </cell>
          <cell r="H532">
            <v>41746</v>
          </cell>
          <cell r="I532" t="str">
            <v xml:space="preserve">STANDARD </v>
          </cell>
          <cell r="J532">
            <v>1997001826</v>
          </cell>
          <cell r="K532" t="str">
            <v>SURANTO</v>
          </cell>
          <cell r="L532" t="str">
            <v>SUR</v>
          </cell>
          <cell r="M532">
            <v>2006008086</v>
          </cell>
          <cell r="N532" t="str">
            <v>IWAN HERMAWANTO</v>
          </cell>
          <cell r="O532" t="str">
            <v>IHO</v>
          </cell>
          <cell r="P532" t="str">
            <v>idmTUTI@jbr.indomaret.co.id</v>
          </cell>
          <cell r="Q532" t="str">
            <v>KAB. JEMBER</v>
          </cell>
          <cell r="R532" t="str">
            <v>SDS</v>
          </cell>
        </row>
        <row r="533">
          <cell r="D533" t="str">
            <v>TVPF</v>
          </cell>
          <cell r="E533" t="str">
            <v>CENDRAWASIH - JEMBER</v>
          </cell>
          <cell r="F533" t="str">
            <v>JEMBER</v>
          </cell>
          <cell r="G533" t="str">
            <v>R</v>
          </cell>
          <cell r="H533">
            <v>40963</v>
          </cell>
          <cell r="I533" t="str">
            <v xml:space="preserve">STANDARD </v>
          </cell>
          <cell r="J533">
            <v>1997001826</v>
          </cell>
          <cell r="K533" t="str">
            <v>SURANTO</v>
          </cell>
          <cell r="L533" t="str">
            <v>SUR</v>
          </cell>
          <cell r="M533">
            <v>2006008086</v>
          </cell>
          <cell r="N533" t="str">
            <v>IWAN HERMAWANTO</v>
          </cell>
          <cell r="O533" t="str">
            <v>IHO</v>
          </cell>
          <cell r="P533" t="str">
            <v>idmTVPF@jbr.indomaret.co.id</v>
          </cell>
          <cell r="Q533" t="str">
            <v>KAB. JEMBER</v>
          </cell>
          <cell r="R533" t="str">
            <v>SDS</v>
          </cell>
        </row>
        <row r="534">
          <cell r="D534" t="str">
            <v>FGAM</v>
          </cell>
          <cell r="E534" t="str">
            <v>DR.SOEBANDI - JEMBER</v>
          </cell>
          <cell r="F534" t="str">
            <v>JEMBER</v>
          </cell>
          <cell r="G534" t="str">
            <v>F</v>
          </cell>
          <cell r="H534">
            <v>45323</v>
          </cell>
          <cell r="I534" t="str">
            <v>STANDARD NEW</v>
          </cell>
          <cell r="J534">
            <v>1997001826</v>
          </cell>
          <cell r="K534" t="str">
            <v>SURANTO</v>
          </cell>
          <cell r="L534" t="str">
            <v>SUR</v>
          </cell>
          <cell r="M534">
            <v>2012029489</v>
          </cell>
          <cell r="N534" t="str">
            <v>MUHAMAD SAEFUL</v>
          </cell>
          <cell r="O534" t="str">
            <v>MSE</v>
          </cell>
          <cell r="P534" t="str">
            <v>idFGAM@jbr.indomaret.co.id</v>
          </cell>
          <cell r="Q534" t="str">
            <v>KAB. JEMBER</v>
          </cell>
          <cell r="R534" t="str">
            <v>SDN</v>
          </cell>
        </row>
        <row r="535">
          <cell r="D535" t="str">
            <v>FKCW</v>
          </cell>
          <cell r="E535" t="str">
            <v>WACHID HASYIM</v>
          </cell>
          <cell r="F535" t="str">
            <v>JEMBER</v>
          </cell>
          <cell r="G535" t="str">
            <v>F</v>
          </cell>
          <cell r="H535">
            <v>44376</v>
          </cell>
          <cell r="I535" t="str">
            <v xml:space="preserve">STANDARD </v>
          </cell>
          <cell r="J535">
            <v>1997001826</v>
          </cell>
          <cell r="K535" t="str">
            <v>SURANTO</v>
          </cell>
          <cell r="L535" t="str">
            <v>SUR</v>
          </cell>
          <cell r="M535">
            <v>2012029489</v>
          </cell>
          <cell r="N535" t="str">
            <v>MUHAMAD SAEFUL</v>
          </cell>
          <cell r="O535" t="str">
            <v>MSE</v>
          </cell>
          <cell r="P535" t="str">
            <v>idFKCW@jbr.indomaret.co.id</v>
          </cell>
          <cell r="Q535" t="str">
            <v>KAB. JEMBER</v>
          </cell>
          <cell r="R535" t="str">
            <v>SDS</v>
          </cell>
        </row>
        <row r="536">
          <cell r="D536" t="str">
            <v>T2AA</v>
          </cell>
          <cell r="E536" t="str">
            <v>KARTINI</v>
          </cell>
          <cell r="F536" t="str">
            <v>JEMBER</v>
          </cell>
          <cell r="G536" t="str">
            <v>R</v>
          </cell>
          <cell r="H536">
            <v>39893</v>
          </cell>
          <cell r="I536" t="str">
            <v>STANDARD NEW</v>
          </cell>
          <cell r="J536">
            <v>1997001826</v>
          </cell>
          <cell r="K536" t="str">
            <v>SURANTO</v>
          </cell>
          <cell r="L536" t="str">
            <v>SUR</v>
          </cell>
          <cell r="M536">
            <v>2012029489</v>
          </cell>
          <cell r="N536" t="str">
            <v>MUHAMAD SAEFUL</v>
          </cell>
          <cell r="O536" t="str">
            <v>MSE</v>
          </cell>
          <cell r="P536" t="str">
            <v>idmT2AA@jbr.indomaret.co.id</v>
          </cell>
          <cell r="Q536" t="str">
            <v>KAB. JEMBER</v>
          </cell>
          <cell r="R536" t="str">
            <v>SDN</v>
          </cell>
        </row>
        <row r="537">
          <cell r="D537" t="str">
            <v>TA87</v>
          </cell>
          <cell r="E537" t="str">
            <v>KH. SIDIQ</v>
          </cell>
          <cell r="F537" t="str">
            <v>JEMBER</v>
          </cell>
          <cell r="G537" t="str">
            <v>R</v>
          </cell>
          <cell r="H537">
            <v>39538</v>
          </cell>
          <cell r="I537" t="str">
            <v xml:space="preserve">STANDARD </v>
          </cell>
          <cell r="J537">
            <v>1997001826</v>
          </cell>
          <cell r="K537" t="str">
            <v>SURANTO</v>
          </cell>
          <cell r="L537" t="str">
            <v>SUR</v>
          </cell>
          <cell r="M537">
            <v>2012029489</v>
          </cell>
          <cell r="N537" t="str">
            <v>MUHAMAD SAEFUL</v>
          </cell>
          <cell r="O537" t="str">
            <v>MSE</v>
          </cell>
          <cell r="P537" t="str">
            <v>idmTA87@jbr.indomaret.co.id</v>
          </cell>
          <cell r="Q537" t="str">
            <v>KAB. JEMBER</v>
          </cell>
          <cell r="R537" t="str">
            <v>SDS</v>
          </cell>
        </row>
        <row r="538">
          <cell r="D538" t="str">
            <v>TAL1</v>
          </cell>
          <cell r="E538" t="str">
            <v>JAYANEGARA - JEMBER</v>
          </cell>
          <cell r="F538" t="str">
            <v>JEMBER</v>
          </cell>
          <cell r="G538" t="str">
            <v>R</v>
          </cell>
          <cell r="H538">
            <v>39987</v>
          </cell>
          <cell r="I538" t="str">
            <v xml:space="preserve">STANDARD </v>
          </cell>
          <cell r="J538">
            <v>1997001826</v>
          </cell>
          <cell r="K538" t="str">
            <v>SURANTO</v>
          </cell>
          <cell r="L538" t="str">
            <v>SUR</v>
          </cell>
          <cell r="M538">
            <v>2012029489</v>
          </cell>
          <cell r="N538" t="str">
            <v>MUHAMAD SAEFUL</v>
          </cell>
          <cell r="O538" t="str">
            <v>MSE</v>
          </cell>
          <cell r="P538" t="str">
            <v>idmTAL1@jbr.indomaret.co.id</v>
          </cell>
          <cell r="Q538" t="str">
            <v>KAB. JEMBER</v>
          </cell>
          <cell r="R538" t="str">
            <v>SDS</v>
          </cell>
        </row>
        <row r="539">
          <cell r="D539" t="str">
            <v>TIDR</v>
          </cell>
          <cell r="E539" t="str">
            <v>DIPONEGORO - JEMBER</v>
          </cell>
          <cell r="F539" t="str">
            <v>JEMBER</v>
          </cell>
          <cell r="G539" t="str">
            <v>R</v>
          </cell>
          <cell r="H539">
            <v>41564</v>
          </cell>
          <cell r="I539" t="str">
            <v xml:space="preserve">STANDARD </v>
          </cell>
          <cell r="J539">
            <v>1997001826</v>
          </cell>
          <cell r="K539" t="str">
            <v>SURANTO</v>
          </cell>
          <cell r="L539" t="str">
            <v>SUR</v>
          </cell>
          <cell r="M539">
            <v>2012029489</v>
          </cell>
          <cell r="N539" t="str">
            <v>MUHAMAD SAEFUL</v>
          </cell>
          <cell r="O539" t="str">
            <v>MSE</v>
          </cell>
          <cell r="P539" t="str">
            <v>idmTIDR@jbr.indomaret.co.id</v>
          </cell>
          <cell r="Q539" t="str">
            <v>KAB. JEMBER</v>
          </cell>
          <cell r="R539" t="str">
            <v>SDS</v>
          </cell>
        </row>
        <row r="540">
          <cell r="D540" t="str">
            <v>TJLW</v>
          </cell>
          <cell r="E540" t="str">
            <v>RAYA BEDADUNG - JEMBER</v>
          </cell>
          <cell r="F540" t="str">
            <v>JEMBER</v>
          </cell>
          <cell r="G540" t="str">
            <v>R</v>
          </cell>
          <cell r="H540">
            <v>43862</v>
          </cell>
          <cell r="I540" t="str">
            <v xml:space="preserve">STANDARD </v>
          </cell>
          <cell r="J540">
            <v>1997001826</v>
          </cell>
          <cell r="K540" t="str">
            <v>SURANTO</v>
          </cell>
          <cell r="L540" t="str">
            <v>SUR</v>
          </cell>
          <cell r="M540">
            <v>2012029489</v>
          </cell>
          <cell r="N540" t="str">
            <v>MUHAMAD SAEFUL</v>
          </cell>
          <cell r="O540" t="str">
            <v>MSE</v>
          </cell>
          <cell r="P540" t="str">
            <v>idmTJLW@jbr.indomaret.co.id</v>
          </cell>
          <cell r="Q540" t="str">
            <v>KAB. JEMBER</v>
          </cell>
          <cell r="R540" t="str">
            <v>SDS</v>
          </cell>
        </row>
        <row r="541">
          <cell r="D541" t="str">
            <v>TLIW</v>
          </cell>
          <cell r="E541" t="str">
            <v>GAJAH MADA KALIWATES</v>
          </cell>
          <cell r="F541" t="str">
            <v>JEMBER</v>
          </cell>
          <cell r="G541" t="str">
            <v>R</v>
          </cell>
          <cell r="H541">
            <v>42459</v>
          </cell>
          <cell r="I541" t="str">
            <v>STANDARD NEW</v>
          </cell>
          <cell r="J541">
            <v>1997001826</v>
          </cell>
          <cell r="K541" t="str">
            <v>SURANTO</v>
          </cell>
          <cell r="L541" t="str">
            <v>SUR</v>
          </cell>
          <cell r="M541">
            <v>2012029489</v>
          </cell>
          <cell r="N541" t="str">
            <v>MUHAMAD SAEFUL</v>
          </cell>
          <cell r="O541" t="str">
            <v>MSE</v>
          </cell>
          <cell r="P541" t="str">
            <v>idmTLIW@jbr.indomaret.co.id</v>
          </cell>
          <cell r="Q541" t="str">
            <v>KAB. JEMBER</v>
          </cell>
          <cell r="R541" t="str">
            <v>SDN</v>
          </cell>
        </row>
        <row r="542">
          <cell r="D542" t="str">
            <v>TLKG</v>
          </cell>
          <cell r="E542" t="str">
            <v>IMAM BONJOL JBR</v>
          </cell>
          <cell r="F542" t="str">
            <v>JEMBER</v>
          </cell>
          <cell r="G542" t="str">
            <v>R</v>
          </cell>
          <cell r="H542">
            <v>42369</v>
          </cell>
          <cell r="I542" t="str">
            <v>STANDARD NEW</v>
          </cell>
          <cell r="J542">
            <v>1997001826</v>
          </cell>
          <cell r="K542" t="str">
            <v>SURANTO</v>
          </cell>
          <cell r="L542" t="str">
            <v>SUR</v>
          </cell>
          <cell r="M542">
            <v>2012029489</v>
          </cell>
          <cell r="N542" t="str">
            <v>MUHAMAD SAEFUL</v>
          </cell>
          <cell r="O542" t="str">
            <v>MSE</v>
          </cell>
          <cell r="P542" t="str">
            <v>idmTLKG@jbr.indomaret.co.id</v>
          </cell>
          <cell r="Q542" t="str">
            <v>KAB. JEMBER</v>
          </cell>
          <cell r="R542" t="str">
            <v>SDN</v>
          </cell>
        </row>
        <row r="543">
          <cell r="D543" t="str">
            <v>TWEO</v>
          </cell>
          <cell r="E543" t="str">
            <v>SENTOT PRAWIRODIRJO</v>
          </cell>
          <cell r="F543" t="str">
            <v>JEMBER</v>
          </cell>
          <cell r="G543" t="str">
            <v>R</v>
          </cell>
          <cell r="H543">
            <v>42490</v>
          </cell>
          <cell r="I543" t="str">
            <v xml:space="preserve">STANDARD </v>
          </cell>
          <cell r="J543">
            <v>1997001826</v>
          </cell>
          <cell r="K543" t="str">
            <v>SURANTO</v>
          </cell>
          <cell r="L543" t="str">
            <v>SUR</v>
          </cell>
          <cell r="M543">
            <v>2012029489</v>
          </cell>
          <cell r="N543" t="str">
            <v>MUHAMAD SAEFUL</v>
          </cell>
          <cell r="O543" t="str">
            <v>MSE</v>
          </cell>
          <cell r="P543" t="str">
            <v>idmTWEO@jbr.indomaret.co.id</v>
          </cell>
          <cell r="Q543" t="str">
            <v>KAB. JEMBER</v>
          </cell>
          <cell r="R543" t="str">
            <v>SDS</v>
          </cell>
        </row>
        <row r="544">
          <cell r="D544" t="str">
            <v>TYAW</v>
          </cell>
          <cell r="E544" t="str">
            <v>AGUS SALIM 1 JBR</v>
          </cell>
          <cell r="F544" t="str">
            <v>JEMBER</v>
          </cell>
          <cell r="G544" t="str">
            <v>R</v>
          </cell>
          <cell r="H544">
            <v>41758</v>
          </cell>
          <cell r="I544" t="str">
            <v>STANDARD NEW</v>
          </cell>
          <cell r="J544">
            <v>1997001826</v>
          </cell>
          <cell r="K544" t="str">
            <v>SURANTO</v>
          </cell>
          <cell r="L544" t="str">
            <v>SUR</v>
          </cell>
          <cell r="M544">
            <v>2012029489</v>
          </cell>
          <cell r="N544" t="str">
            <v>MUHAMAD SAEFUL</v>
          </cell>
          <cell r="O544" t="str">
            <v>MSE</v>
          </cell>
          <cell r="P544" t="str">
            <v>idmTYAW@jbr.indomaret.co.id</v>
          </cell>
          <cell r="Q544" t="str">
            <v>KAB. JEMBER</v>
          </cell>
          <cell r="R544" t="str">
            <v>SDN</v>
          </cell>
        </row>
        <row r="545">
          <cell r="D545" t="str">
            <v>TYFT</v>
          </cell>
          <cell r="E545" t="str">
            <v>TRUNOJOYO KALIWATES</v>
          </cell>
          <cell r="F545" t="str">
            <v>JEMBER</v>
          </cell>
          <cell r="G545" t="str">
            <v>R</v>
          </cell>
          <cell r="H545">
            <v>42546</v>
          </cell>
          <cell r="I545" t="str">
            <v xml:space="preserve">STANDARD </v>
          </cell>
          <cell r="J545">
            <v>1997001826</v>
          </cell>
          <cell r="K545" t="str">
            <v>SURANTO</v>
          </cell>
          <cell r="L545" t="str">
            <v>SUR</v>
          </cell>
          <cell r="M545">
            <v>2012029489</v>
          </cell>
          <cell r="N545" t="str">
            <v>MUHAMAD SAEFUL</v>
          </cell>
          <cell r="O545" t="str">
            <v>MSE</v>
          </cell>
          <cell r="P545" t="str">
            <v>idmTYFT@jbr.indomaret.co.id</v>
          </cell>
          <cell r="Q545" t="str">
            <v>KAB. JEMBER</v>
          </cell>
          <cell r="R545" t="str">
            <v>SDS</v>
          </cell>
        </row>
        <row r="546">
          <cell r="D546" t="str">
            <v>TZF8</v>
          </cell>
          <cell r="E546" t="str">
            <v>SROEDJI</v>
          </cell>
          <cell r="F546" t="str">
            <v>JEMBER</v>
          </cell>
          <cell r="G546" t="str">
            <v>R</v>
          </cell>
          <cell r="H546">
            <v>41170</v>
          </cell>
          <cell r="I546" t="str">
            <v xml:space="preserve">STANDARD </v>
          </cell>
          <cell r="J546">
            <v>1997001826</v>
          </cell>
          <cell r="K546" t="str">
            <v>SURANTO</v>
          </cell>
          <cell r="L546" t="str">
            <v>SUR</v>
          </cell>
          <cell r="M546">
            <v>2012029489</v>
          </cell>
          <cell r="N546" t="str">
            <v>MUHAMAD SAEFUL</v>
          </cell>
          <cell r="O546" t="str">
            <v>MSE</v>
          </cell>
          <cell r="P546" t="str">
            <v>idmTZF8@jbr.indomaret.co.id</v>
          </cell>
          <cell r="Q546" t="str">
            <v>KAB. JEMBER</v>
          </cell>
          <cell r="R546" t="str">
            <v>SDS</v>
          </cell>
        </row>
        <row r="547">
          <cell r="D547" t="str">
            <v>F9JN</v>
          </cell>
          <cell r="E547" t="str">
            <v>HOS COKROAMINOTO</v>
          </cell>
          <cell r="F547" t="str">
            <v>JEMBER</v>
          </cell>
          <cell r="G547" t="str">
            <v>F</v>
          </cell>
          <cell r="H547">
            <v>46186</v>
          </cell>
          <cell r="I547" t="str">
            <v>STANDARD NEW</v>
          </cell>
          <cell r="J547">
            <v>2004009493</v>
          </cell>
          <cell r="K547" t="str">
            <v>SLAMET SUPRIYADI</v>
          </cell>
          <cell r="L547" t="str">
            <v>SYA</v>
          </cell>
          <cell r="M547">
            <v>2007001296</v>
          </cell>
          <cell r="N547" t="str">
            <v>ARIF NUGROHO</v>
          </cell>
          <cell r="O547" t="str">
            <v>AFO</v>
          </cell>
          <cell r="P547" t="str">
            <v>idF9JN@jbr.indomaret.co.id</v>
          </cell>
          <cell r="Q547" t="str">
            <v>KOD. PROBOLINGGO</v>
          </cell>
          <cell r="R547" t="str">
            <v>SDN</v>
          </cell>
        </row>
        <row r="548">
          <cell r="D548" t="str">
            <v>FEER</v>
          </cell>
          <cell r="E548" t="str">
            <v>RAYA PB.SUDIRMAN PBO</v>
          </cell>
          <cell r="F548" t="str">
            <v>JEMBER</v>
          </cell>
          <cell r="G548" t="str">
            <v>F</v>
          </cell>
          <cell r="H548">
            <v>45444</v>
          </cell>
          <cell r="I548" t="str">
            <v xml:space="preserve">STANDARD </v>
          </cell>
          <cell r="J548">
            <v>2004009493</v>
          </cell>
          <cell r="K548" t="str">
            <v>SLAMET SUPRIYADI</v>
          </cell>
          <cell r="L548" t="str">
            <v>SYA</v>
          </cell>
          <cell r="M548">
            <v>2007001296</v>
          </cell>
          <cell r="N548" t="str">
            <v>ARIF NUGROHO</v>
          </cell>
          <cell r="O548" t="str">
            <v>AFO</v>
          </cell>
          <cell r="P548" t="str">
            <v>idFEER@jbr.indomaret.co.id</v>
          </cell>
          <cell r="Q548" t="str">
            <v>KOD. PROBOLINGGO</v>
          </cell>
          <cell r="R548" t="str">
            <v>SDS</v>
          </cell>
        </row>
        <row r="549">
          <cell r="D549" t="str">
            <v>FF44</v>
          </cell>
          <cell r="E549" t="str">
            <v>DRINGU</v>
          </cell>
          <cell r="F549" t="str">
            <v>JEMBER</v>
          </cell>
          <cell r="G549" t="str">
            <v>F</v>
          </cell>
          <cell r="H549">
            <v>45536</v>
          </cell>
          <cell r="I549" t="str">
            <v xml:space="preserve">STANDARD </v>
          </cell>
          <cell r="J549">
            <v>2004009493</v>
          </cell>
          <cell r="K549" t="str">
            <v>SLAMET SUPRIYADI</v>
          </cell>
          <cell r="L549" t="str">
            <v>SYA</v>
          </cell>
          <cell r="M549">
            <v>2007001296</v>
          </cell>
          <cell r="N549" t="str">
            <v>ARIF NUGROHO</v>
          </cell>
          <cell r="O549" t="str">
            <v>AFO</v>
          </cell>
          <cell r="P549" t="str">
            <v>idFF44@jbr.indomaret.co.id</v>
          </cell>
          <cell r="Q549" t="str">
            <v>KAB. PROBOLINGGO</v>
          </cell>
          <cell r="R549" t="str">
            <v>SDS</v>
          </cell>
        </row>
        <row r="550">
          <cell r="D550" t="str">
            <v>FHCF</v>
          </cell>
          <cell r="E550" t="str">
            <v>KAPUAS</v>
          </cell>
          <cell r="F550" t="str">
            <v>JEMBER</v>
          </cell>
          <cell r="G550" t="str">
            <v>F</v>
          </cell>
          <cell r="H550">
            <v>45902</v>
          </cell>
          <cell r="I550" t="str">
            <v xml:space="preserve">STANDARD </v>
          </cell>
          <cell r="J550">
            <v>2004009493</v>
          </cell>
          <cell r="K550" t="str">
            <v>SLAMET SUPRIYADI</v>
          </cell>
          <cell r="L550" t="str">
            <v>SYA</v>
          </cell>
          <cell r="M550">
            <v>2007001296</v>
          </cell>
          <cell r="N550" t="str">
            <v>ARIF NUGROHO</v>
          </cell>
          <cell r="O550" t="str">
            <v>AFO</v>
          </cell>
          <cell r="P550" t="str">
            <v>idFHCF@jbr.indomaret.co.id</v>
          </cell>
          <cell r="Q550" t="str">
            <v>KOD. PROBOLINGGO</v>
          </cell>
          <cell r="R550" t="str">
            <v>SDS</v>
          </cell>
        </row>
        <row r="551">
          <cell r="D551" t="str">
            <v>FHPC</v>
          </cell>
          <cell r="E551" t="str">
            <v>YOS SUDARSO 31</v>
          </cell>
          <cell r="F551" t="str">
            <v>JEMBER</v>
          </cell>
          <cell r="G551" t="str">
            <v>F</v>
          </cell>
          <cell r="H551">
            <v>45621</v>
          </cell>
          <cell r="I551" t="str">
            <v xml:space="preserve">STANDARD </v>
          </cell>
          <cell r="J551">
            <v>2004009493</v>
          </cell>
          <cell r="K551" t="str">
            <v>SLAMET SUPRIYADI</v>
          </cell>
          <cell r="L551" t="str">
            <v>SYA</v>
          </cell>
          <cell r="M551">
            <v>2007001296</v>
          </cell>
          <cell r="N551" t="str">
            <v>ARIF NUGROHO</v>
          </cell>
          <cell r="O551" t="str">
            <v>AFO</v>
          </cell>
          <cell r="P551" t="str">
            <v>idFHPC@jbr.indomaret.co.id</v>
          </cell>
          <cell r="Q551" t="str">
            <v>KAB. PROBOLINGGO</v>
          </cell>
          <cell r="R551" t="str">
            <v>SDS</v>
          </cell>
        </row>
        <row r="552">
          <cell r="D552" t="str">
            <v>FHTH</v>
          </cell>
          <cell r="E552" t="str">
            <v>DRINGU KALIREJO</v>
          </cell>
          <cell r="F552" t="str">
            <v>JEMBER</v>
          </cell>
          <cell r="G552" t="str">
            <v>F</v>
          </cell>
          <cell r="H552">
            <v>45473</v>
          </cell>
          <cell r="I552" t="str">
            <v xml:space="preserve">STANDARD </v>
          </cell>
          <cell r="J552">
            <v>2004009493</v>
          </cell>
          <cell r="K552" t="str">
            <v>SLAMET SUPRIYADI</v>
          </cell>
          <cell r="L552" t="str">
            <v>SYA</v>
          </cell>
          <cell r="M552">
            <v>2007001296</v>
          </cell>
          <cell r="N552" t="str">
            <v>ARIF NUGROHO</v>
          </cell>
          <cell r="O552" t="str">
            <v>AFO</v>
          </cell>
          <cell r="P552" t="str">
            <v>idFHTH@jbr.indomaret.co.id</v>
          </cell>
          <cell r="Q552" t="str">
            <v>KAB. PROBOLINGGO</v>
          </cell>
          <cell r="R552" t="str">
            <v>SDS</v>
          </cell>
        </row>
        <row r="553">
          <cell r="D553" t="str">
            <v>TCMN</v>
          </cell>
          <cell r="E553" t="str">
            <v>SERMA ABDURAHMAN</v>
          </cell>
          <cell r="F553" t="str">
            <v>JEMBER</v>
          </cell>
          <cell r="G553" t="str">
            <v>R</v>
          </cell>
          <cell r="H553">
            <v>42510</v>
          </cell>
          <cell r="I553" t="str">
            <v xml:space="preserve">STANDARD </v>
          </cell>
          <cell r="J553">
            <v>2004009493</v>
          </cell>
          <cell r="K553" t="str">
            <v>SLAMET SUPRIYADI</v>
          </cell>
          <cell r="L553" t="str">
            <v>SYA</v>
          </cell>
          <cell r="M553">
            <v>2007001296</v>
          </cell>
          <cell r="N553" t="str">
            <v>ARIF NUGROHO</v>
          </cell>
          <cell r="O553" t="str">
            <v>AFO</v>
          </cell>
          <cell r="P553" t="str">
            <v>idmTCMN@jbr.indomaret.co.id</v>
          </cell>
          <cell r="Q553" t="str">
            <v>KOD. PROBOLINGGO</v>
          </cell>
          <cell r="R553" t="str">
            <v>SDS</v>
          </cell>
        </row>
        <row r="554">
          <cell r="D554" t="str">
            <v>TICA</v>
          </cell>
          <cell r="E554" t="str">
            <v>PAHLAWAN - PBO</v>
          </cell>
          <cell r="F554" t="str">
            <v>JEMBER</v>
          </cell>
          <cell r="G554" t="str">
            <v>R</v>
          </cell>
          <cell r="H554">
            <v>41206</v>
          </cell>
          <cell r="I554" t="str">
            <v xml:space="preserve">STANDARD </v>
          </cell>
          <cell r="J554">
            <v>2004009493</v>
          </cell>
          <cell r="K554" t="str">
            <v>SLAMET SUPRIYADI</v>
          </cell>
          <cell r="L554" t="str">
            <v>SYA</v>
          </cell>
          <cell r="M554">
            <v>2007001296</v>
          </cell>
          <cell r="N554" t="str">
            <v>ARIF NUGROHO</v>
          </cell>
          <cell r="O554" t="str">
            <v>AFO</v>
          </cell>
          <cell r="P554" t="str">
            <v>idmTICA@jbr.indomaret.co.id</v>
          </cell>
          <cell r="Q554" t="str">
            <v>KOD. PROBOLINGGO</v>
          </cell>
          <cell r="R554" t="str">
            <v>SDS</v>
          </cell>
        </row>
        <row r="555">
          <cell r="D555" t="str">
            <v>TIMO</v>
          </cell>
          <cell r="E555" t="str">
            <v>SUNAN AMPEL</v>
          </cell>
          <cell r="F555" t="str">
            <v>JEMBER</v>
          </cell>
          <cell r="G555" t="str">
            <v>R</v>
          </cell>
          <cell r="H555">
            <v>42308</v>
          </cell>
          <cell r="I555" t="str">
            <v xml:space="preserve">STANDARD </v>
          </cell>
          <cell r="J555">
            <v>2004009493</v>
          </cell>
          <cell r="K555" t="str">
            <v>SLAMET SUPRIYADI</v>
          </cell>
          <cell r="L555" t="str">
            <v>SYA</v>
          </cell>
          <cell r="M555">
            <v>2007001296</v>
          </cell>
          <cell r="N555" t="str">
            <v>ARIF NUGROHO</v>
          </cell>
          <cell r="O555" t="str">
            <v>AFO</v>
          </cell>
          <cell r="P555" t="str">
            <v>idmTIMO@jbr.indomaret.co.id</v>
          </cell>
          <cell r="Q555" t="str">
            <v>KOD. PROBOLINGGO</v>
          </cell>
          <cell r="R555" t="str">
            <v>SDS</v>
          </cell>
        </row>
        <row r="556">
          <cell r="D556" t="str">
            <v>TONJ</v>
          </cell>
          <cell r="E556" t="str">
            <v>GLADAK SERANG</v>
          </cell>
          <cell r="F556" t="str">
            <v>JEMBER</v>
          </cell>
          <cell r="G556" t="str">
            <v>R</v>
          </cell>
          <cell r="H556">
            <v>42674</v>
          </cell>
          <cell r="I556" t="str">
            <v xml:space="preserve">STANDARD </v>
          </cell>
          <cell r="J556">
            <v>2004009493</v>
          </cell>
          <cell r="K556" t="str">
            <v>SLAMET SUPRIYADI</v>
          </cell>
          <cell r="L556" t="str">
            <v>SYA</v>
          </cell>
          <cell r="M556">
            <v>2007001296</v>
          </cell>
          <cell r="N556" t="str">
            <v>ARIF NUGROHO</v>
          </cell>
          <cell r="O556" t="str">
            <v>AFO</v>
          </cell>
          <cell r="P556" t="str">
            <v>idmTONJ@jbr.indomaret.co.id</v>
          </cell>
          <cell r="Q556" t="str">
            <v>KOD. PROBOLINGGO</v>
          </cell>
          <cell r="R556" t="str">
            <v>SDS</v>
          </cell>
        </row>
        <row r="557">
          <cell r="D557" t="str">
            <v>TPUV</v>
          </cell>
          <cell r="E557" t="str">
            <v>BASUKI RAHMAD - PBO</v>
          </cell>
          <cell r="F557" t="str">
            <v>JEMBER</v>
          </cell>
          <cell r="G557" t="str">
            <v>R</v>
          </cell>
          <cell r="H557">
            <v>42063</v>
          </cell>
          <cell r="I557" t="str">
            <v xml:space="preserve">STANDARD </v>
          </cell>
          <cell r="J557">
            <v>2004009493</v>
          </cell>
          <cell r="K557" t="str">
            <v>SLAMET SUPRIYADI</v>
          </cell>
          <cell r="L557" t="str">
            <v>SYA</v>
          </cell>
          <cell r="M557">
            <v>2007001296</v>
          </cell>
          <cell r="N557" t="str">
            <v>ARIF NUGROHO</v>
          </cell>
          <cell r="O557" t="str">
            <v>AFO</v>
          </cell>
          <cell r="P557" t="str">
            <v>idmTPUV@jbr.indomaret.co.id</v>
          </cell>
          <cell r="Q557" t="str">
            <v>KOD. PROBOLINGGO</v>
          </cell>
          <cell r="R557" t="str">
            <v>SDS</v>
          </cell>
        </row>
        <row r="558">
          <cell r="D558" t="str">
            <v>TQQJ</v>
          </cell>
          <cell r="E558" t="str">
            <v>DRINGU KALISALAM</v>
          </cell>
          <cell r="F558" t="str">
            <v>JEMBER</v>
          </cell>
          <cell r="G558" t="str">
            <v>R</v>
          </cell>
          <cell r="H558">
            <v>42794</v>
          </cell>
          <cell r="I558" t="str">
            <v>STANDARD NEW</v>
          </cell>
          <cell r="J558">
            <v>2004009493</v>
          </cell>
          <cell r="K558" t="str">
            <v>SLAMET SUPRIYADI</v>
          </cell>
          <cell r="L558" t="str">
            <v>SYA</v>
          </cell>
          <cell r="M558">
            <v>2007001296</v>
          </cell>
          <cell r="N558" t="str">
            <v>ARIF NUGROHO</v>
          </cell>
          <cell r="O558" t="str">
            <v>AFO</v>
          </cell>
          <cell r="P558" t="str">
            <v>idmTQQJ@jbr.indomaret.co.id</v>
          </cell>
          <cell r="Q558" t="str">
            <v>KAB. PROBOLINGGO</v>
          </cell>
          <cell r="R558" t="str">
            <v>SDN</v>
          </cell>
        </row>
        <row r="559">
          <cell r="D559" t="str">
            <v>TWCX</v>
          </cell>
          <cell r="E559" t="str">
            <v>GATOT SUBROTO - PROBOLINGGO</v>
          </cell>
          <cell r="F559" t="str">
            <v>JEMBER</v>
          </cell>
          <cell r="G559" t="str">
            <v>R</v>
          </cell>
          <cell r="H559">
            <v>43586</v>
          </cell>
          <cell r="I559" t="str">
            <v xml:space="preserve">STANDARD </v>
          </cell>
          <cell r="J559">
            <v>2004009493</v>
          </cell>
          <cell r="K559" t="str">
            <v>SLAMET SUPRIYADI</v>
          </cell>
          <cell r="L559" t="str">
            <v>SYA</v>
          </cell>
          <cell r="M559">
            <v>2007001296</v>
          </cell>
          <cell r="N559" t="str">
            <v>ARIF NUGROHO</v>
          </cell>
          <cell r="O559" t="str">
            <v>AFO</v>
          </cell>
          <cell r="P559" t="str">
            <v>idmTWCX@jbr.indomaret.co.id</v>
          </cell>
          <cell r="Q559" t="str">
            <v>KOD. PROBOLINGGO</v>
          </cell>
          <cell r="R559" t="str">
            <v>SDS</v>
          </cell>
        </row>
        <row r="560">
          <cell r="D560" t="str">
            <v>T677</v>
          </cell>
          <cell r="E560" t="str">
            <v>SUWANDAK</v>
          </cell>
          <cell r="F560" t="str">
            <v>JEMBER</v>
          </cell>
          <cell r="G560" t="str">
            <v>R</v>
          </cell>
          <cell r="H560">
            <v>38442</v>
          </cell>
          <cell r="I560" t="str">
            <v>STANDARD NEW</v>
          </cell>
          <cell r="J560">
            <v>2004009493</v>
          </cell>
          <cell r="K560" t="str">
            <v>SLAMET SUPRIYADI</v>
          </cell>
          <cell r="L560" t="str">
            <v>SYA</v>
          </cell>
          <cell r="M560">
            <v>2015011269</v>
          </cell>
          <cell r="N560" t="str">
            <v>BAYU DWI PRASETYO</v>
          </cell>
          <cell r="O560" t="str">
            <v>BYO</v>
          </cell>
          <cell r="P560" t="str">
            <v>idmT677@jbr.indomaret.co.id</v>
          </cell>
          <cell r="Q560" t="str">
            <v>KAB. LUMAJANG</v>
          </cell>
          <cell r="R560" t="str">
            <v>SDN</v>
          </cell>
        </row>
        <row r="561">
          <cell r="D561" t="str">
            <v>TAEC</v>
          </cell>
          <cell r="E561" t="str">
            <v>FRESH KENCONG JEMBER</v>
          </cell>
          <cell r="F561" t="str">
            <v>JEMBER</v>
          </cell>
          <cell r="G561" t="str">
            <v>R</v>
          </cell>
          <cell r="H561">
            <v>41517</v>
          </cell>
          <cell r="I561" t="str">
            <v>MATRIX FRESH</v>
          </cell>
          <cell r="J561">
            <v>2004009493</v>
          </cell>
          <cell r="K561" t="str">
            <v>SLAMET SUPRIYADI</v>
          </cell>
          <cell r="L561" t="str">
            <v>SYA</v>
          </cell>
          <cell r="M561">
            <v>2015011269</v>
          </cell>
          <cell r="N561" t="str">
            <v>BAYU DWI PRASETYO</v>
          </cell>
          <cell r="O561" t="str">
            <v>BYO</v>
          </cell>
          <cell r="P561" t="str">
            <v>idmTAEC@jbr.indomaret.co.id</v>
          </cell>
          <cell r="Q561" t="str">
            <v>KAB. JEMBER</v>
          </cell>
          <cell r="R561" t="str">
            <v>MFF</v>
          </cell>
        </row>
        <row r="562">
          <cell r="D562" t="str">
            <v>TENU</v>
          </cell>
          <cell r="E562" t="str">
            <v>FRESH MASTRIP-PBO</v>
          </cell>
          <cell r="F562" t="str">
            <v>JEMBER</v>
          </cell>
          <cell r="G562" t="str">
            <v>R</v>
          </cell>
          <cell r="H562">
            <v>42118</v>
          </cell>
          <cell r="I562" t="str">
            <v>MATRIX FRESH</v>
          </cell>
          <cell r="J562">
            <v>2004009493</v>
          </cell>
          <cell r="K562" t="str">
            <v>SLAMET SUPRIYADI</v>
          </cell>
          <cell r="L562" t="str">
            <v>SYA</v>
          </cell>
          <cell r="M562">
            <v>2015011269</v>
          </cell>
          <cell r="N562" t="str">
            <v>BAYU DWI PRASETYO</v>
          </cell>
          <cell r="O562" t="str">
            <v>BYO</v>
          </cell>
          <cell r="P562" t="str">
            <v>idmTENU@jbr.indomaret.co.id</v>
          </cell>
          <cell r="Q562" t="str">
            <v>KOD. PROBOLINGGO</v>
          </cell>
          <cell r="R562" t="str">
            <v>MFF</v>
          </cell>
        </row>
        <row r="563">
          <cell r="D563" t="str">
            <v>TF30</v>
          </cell>
          <cell r="E563" t="str">
            <v>SLAMET RIYADI</v>
          </cell>
          <cell r="F563" t="str">
            <v>JEMBER</v>
          </cell>
          <cell r="G563" t="str">
            <v>R</v>
          </cell>
          <cell r="H563">
            <v>38650</v>
          </cell>
          <cell r="I563" t="str">
            <v>STANDARD NEW</v>
          </cell>
          <cell r="J563">
            <v>2004009493</v>
          </cell>
          <cell r="K563" t="str">
            <v>SLAMET SUPRIYADI</v>
          </cell>
          <cell r="L563" t="str">
            <v>SYA</v>
          </cell>
          <cell r="M563">
            <v>2015011269</v>
          </cell>
          <cell r="N563" t="str">
            <v>BAYU DWI PRASETYO</v>
          </cell>
          <cell r="O563" t="str">
            <v>BYO</v>
          </cell>
          <cell r="P563" t="str">
            <v>idmTF30@jbr.indomaret.co.id</v>
          </cell>
          <cell r="Q563" t="str">
            <v>KAB. LUMAJANG</v>
          </cell>
          <cell r="R563" t="str">
            <v>SDN</v>
          </cell>
        </row>
        <row r="564">
          <cell r="D564" t="str">
            <v>TJJZ</v>
          </cell>
          <cell r="E564" t="str">
            <v>KEDOPOK</v>
          </cell>
          <cell r="F564" t="str">
            <v>JEMBER</v>
          </cell>
          <cell r="G564" t="str">
            <v>R</v>
          </cell>
          <cell r="H564">
            <v>43151</v>
          </cell>
          <cell r="I564" t="str">
            <v>STANDARD NEW</v>
          </cell>
          <cell r="J564">
            <v>2004009493</v>
          </cell>
          <cell r="K564" t="str">
            <v>SLAMET SUPRIYADI</v>
          </cell>
          <cell r="L564" t="str">
            <v>SYA</v>
          </cell>
          <cell r="M564">
            <v>2015011269</v>
          </cell>
          <cell r="N564" t="str">
            <v>BAYU DWI PRASETYO</v>
          </cell>
          <cell r="O564" t="str">
            <v>BYO</v>
          </cell>
          <cell r="P564" t="str">
            <v>idmTJJZ@jbr.indomaret.co.id</v>
          </cell>
          <cell r="Q564" t="str">
            <v>KOD. PROBOLINGGO</v>
          </cell>
          <cell r="R564" t="str">
            <v>SDN</v>
          </cell>
        </row>
        <row r="565">
          <cell r="D565" t="str">
            <v>TLA1</v>
          </cell>
          <cell r="E565" t="str">
            <v>FRESH PASIRIAN 2 - LUMAJANG</v>
          </cell>
          <cell r="F565" t="str">
            <v>JEMBER</v>
          </cell>
          <cell r="G565" t="str">
            <v>R</v>
          </cell>
          <cell r="H565">
            <v>39930</v>
          </cell>
          <cell r="I565" t="str">
            <v>MATRIX FRESH</v>
          </cell>
          <cell r="J565">
            <v>2004009493</v>
          </cell>
          <cell r="K565" t="str">
            <v>SLAMET SUPRIYADI</v>
          </cell>
          <cell r="L565" t="str">
            <v>SYA</v>
          </cell>
          <cell r="M565">
            <v>2015011269</v>
          </cell>
          <cell r="N565" t="str">
            <v>BAYU DWI PRASETYO</v>
          </cell>
          <cell r="O565" t="str">
            <v>BYO</v>
          </cell>
          <cell r="P565" t="str">
            <v>idmTLA1@jbr.indomaret.co.id</v>
          </cell>
          <cell r="Q565" t="str">
            <v>KAB. LUMAJANG</v>
          </cell>
          <cell r="R565" t="str">
            <v>MFF</v>
          </cell>
        </row>
        <row r="566">
          <cell r="D566" t="str">
            <v>FRNC</v>
          </cell>
          <cell r="E566" t="str">
            <v>DR. SUTOMO - PROBOLINGGO</v>
          </cell>
          <cell r="F566" t="str">
            <v>JEMBER</v>
          </cell>
          <cell r="G566" t="str">
            <v>F</v>
          </cell>
          <cell r="H566">
            <v>44958</v>
          </cell>
          <cell r="I566" t="str">
            <v xml:space="preserve">STANDARD </v>
          </cell>
          <cell r="J566">
            <v>2004009493</v>
          </cell>
          <cell r="K566" t="str">
            <v>SLAMET SUPRIYADI</v>
          </cell>
          <cell r="L566" t="str">
            <v>SYA</v>
          </cell>
          <cell r="M566">
            <v>2015692605</v>
          </cell>
          <cell r="N566" t="str">
            <v>CLEMENTINO RADITYA</v>
          </cell>
          <cell r="O566" t="str">
            <v>CRT</v>
          </cell>
          <cell r="P566" t="str">
            <v>idFRNC@jbr.indomaret.co.id</v>
          </cell>
          <cell r="Q566" t="str">
            <v>KAB. PROBOLINGGO</v>
          </cell>
          <cell r="R566" t="str">
            <v>SDS</v>
          </cell>
        </row>
        <row r="567">
          <cell r="D567" t="str">
            <v>T2QK</v>
          </cell>
          <cell r="E567" t="str">
            <v>RAYA PB SUDIRMAN KRAKSAAN</v>
          </cell>
          <cell r="F567" t="str">
            <v>JEMBER</v>
          </cell>
          <cell r="G567" t="str">
            <v>R</v>
          </cell>
          <cell r="H567">
            <v>46165</v>
          </cell>
          <cell r="I567" t="str">
            <v>STANDARD NEW</v>
          </cell>
          <cell r="J567">
            <v>2004009493</v>
          </cell>
          <cell r="K567" t="str">
            <v>SLAMET SUPRIYADI</v>
          </cell>
          <cell r="L567" t="str">
            <v>SYA</v>
          </cell>
          <cell r="M567">
            <v>2015692605</v>
          </cell>
          <cell r="N567" t="str">
            <v>CLEMENTINO RADITYA</v>
          </cell>
          <cell r="O567" t="str">
            <v>CRT</v>
          </cell>
          <cell r="P567" t="str">
            <v>idmT2QK@jbr.indomaret.co.id</v>
          </cell>
          <cell r="Q567" t="str">
            <v>KAB. PROBOLINGGO</v>
          </cell>
          <cell r="R567" t="str">
            <v>SDN</v>
          </cell>
        </row>
        <row r="568">
          <cell r="D568" t="str">
            <v>THES</v>
          </cell>
          <cell r="E568" t="str">
            <v>RAYA KRAKSAAN BESUK</v>
          </cell>
          <cell r="F568" t="str">
            <v>JEMBER</v>
          </cell>
          <cell r="G568" t="str">
            <v>R</v>
          </cell>
          <cell r="H568">
            <v>46021</v>
          </cell>
          <cell r="I568" t="str">
            <v xml:space="preserve">STANDARD </v>
          </cell>
          <cell r="J568">
            <v>2004009493</v>
          </cell>
          <cell r="K568" t="str">
            <v>SLAMET SUPRIYADI</v>
          </cell>
          <cell r="L568" t="str">
            <v>SYA</v>
          </cell>
          <cell r="M568">
            <v>2015692605</v>
          </cell>
          <cell r="N568" t="str">
            <v>CLEMENTINO RADITYA</v>
          </cell>
          <cell r="O568" t="str">
            <v>CRT</v>
          </cell>
          <cell r="P568" t="str">
            <v>idmTHES@jbr.indomaret.co.id</v>
          </cell>
          <cell r="Q568" t="str">
            <v>KAB. PROBOLINGGO</v>
          </cell>
          <cell r="R568" t="str">
            <v>SDS</v>
          </cell>
        </row>
        <row r="569">
          <cell r="D569" t="str">
            <v>TIFN</v>
          </cell>
          <cell r="E569" t="str">
            <v>KRAKSAAN II</v>
          </cell>
          <cell r="F569" t="str">
            <v>JEMBER</v>
          </cell>
          <cell r="G569" t="str">
            <v>R</v>
          </cell>
          <cell r="H569">
            <v>42186</v>
          </cell>
          <cell r="I569" t="str">
            <v>STANDARD NEW</v>
          </cell>
          <cell r="J569">
            <v>2004009493</v>
          </cell>
          <cell r="K569" t="str">
            <v>SLAMET SUPRIYADI</v>
          </cell>
          <cell r="L569" t="str">
            <v>SYA</v>
          </cell>
          <cell r="M569">
            <v>2015692605</v>
          </cell>
          <cell r="N569" t="str">
            <v>CLEMENTINO RADITYA</v>
          </cell>
          <cell r="O569" t="str">
            <v>CRT</v>
          </cell>
          <cell r="P569" t="str">
            <v>idmTIFN@jbr.indomaret.co.id</v>
          </cell>
          <cell r="Q569" t="str">
            <v>KAB. PROBOLINGGO</v>
          </cell>
          <cell r="R569" t="str">
            <v>SDN</v>
          </cell>
        </row>
        <row r="570">
          <cell r="D570" t="str">
            <v>TJWA</v>
          </cell>
          <cell r="E570" t="str">
            <v>KRAKSAAN PRB</v>
          </cell>
          <cell r="F570" t="str">
            <v>JEMBER</v>
          </cell>
          <cell r="G570" t="str">
            <v>R</v>
          </cell>
          <cell r="H570">
            <v>43282</v>
          </cell>
          <cell r="I570" t="str">
            <v xml:space="preserve">STANDARD </v>
          </cell>
          <cell r="J570">
            <v>2004009493</v>
          </cell>
          <cell r="K570" t="str">
            <v>SLAMET SUPRIYADI</v>
          </cell>
          <cell r="L570" t="str">
            <v>SYA</v>
          </cell>
          <cell r="M570">
            <v>2015692605</v>
          </cell>
          <cell r="N570" t="str">
            <v>CLEMENTINO RADITYA</v>
          </cell>
          <cell r="O570" t="str">
            <v>CRT</v>
          </cell>
          <cell r="P570" t="str">
            <v>idmTJWA@jbr.indomaret.co.id</v>
          </cell>
          <cell r="Q570" t="str">
            <v>KAB. PROBOLINGGO</v>
          </cell>
          <cell r="R570" t="str">
            <v>SDS</v>
          </cell>
        </row>
        <row r="571">
          <cell r="D571" t="str">
            <v>TQ43</v>
          </cell>
          <cell r="E571" t="str">
            <v>YOS SUDARSO  PBO</v>
          </cell>
          <cell r="F571" t="str">
            <v>JEMBER</v>
          </cell>
          <cell r="G571" t="str">
            <v>R</v>
          </cell>
          <cell r="H571">
            <v>42368</v>
          </cell>
          <cell r="I571" t="str">
            <v xml:space="preserve">STANDARD </v>
          </cell>
          <cell r="J571">
            <v>2004009493</v>
          </cell>
          <cell r="K571" t="str">
            <v>SLAMET SUPRIYADI</v>
          </cell>
          <cell r="L571" t="str">
            <v>SYA</v>
          </cell>
          <cell r="M571">
            <v>2015692605</v>
          </cell>
          <cell r="N571" t="str">
            <v>CLEMENTINO RADITYA</v>
          </cell>
          <cell r="O571" t="str">
            <v>CRT</v>
          </cell>
          <cell r="P571" t="str">
            <v>idmTQ43@jbr.indomaret.co.id</v>
          </cell>
          <cell r="Q571" t="str">
            <v>KAB. PROBOLINGGO</v>
          </cell>
          <cell r="R571" t="str">
            <v>SDS</v>
          </cell>
        </row>
        <row r="572">
          <cell r="D572" t="str">
            <v>TA28</v>
          </cell>
          <cell r="E572" t="str">
            <v>FRESH PAITON</v>
          </cell>
          <cell r="F572" t="str">
            <v>JEMBER</v>
          </cell>
          <cell r="G572" t="str">
            <v>R</v>
          </cell>
          <cell r="H572">
            <v>39078</v>
          </cell>
          <cell r="I572" t="str">
            <v>MATRIX FRESH</v>
          </cell>
          <cell r="J572">
            <v>2004009493</v>
          </cell>
          <cell r="K572" t="str">
            <v>SLAMET SUPRIYADI</v>
          </cell>
          <cell r="L572" t="str">
            <v>SYA</v>
          </cell>
          <cell r="M572">
            <v>2011003599</v>
          </cell>
          <cell r="N572" t="str">
            <v>HASBULLAH</v>
          </cell>
          <cell r="O572" t="str">
            <v>HSB</v>
          </cell>
          <cell r="P572" t="str">
            <v>idmTA28@jbr.indomaret.co.id</v>
          </cell>
          <cell r="Q572" t="str">
            <v>KAB. PROBOLINGGO</v>
          </cell>
          <cell r="R572" t="str">
            <v>MFF</v>
          </cell>
        </row>
        <row r="573">
          <cell r="D573" t="str">
            <v>TDOS</v>
          </cell>
          <cell r="E573" t="str">
            <v>FRESH MANGUNHARJO-PROBOLINGO</v>
          </cell>
          <cell r="F573" t="str">
            <v>JEMBER</v>
          </cell>
          <cell r="G573" t="str">
            <v>R</v>
          </cell>
          <cell r="H573">
            <v>41944</v>
          </cell>
          <cell r="I573" t="str">
            <v>MATRIX FRESH</v>
          </cell>
          <cell r="J573">
            <v>2004009493</v>
          </cell>
          <cell r="K573" t="str">
            <v>SLAMET SUPRIYADI</v>
          </cell>
          <cell r="L573" t="str">
            <v>SYA</v>
          </cell>
          <cell r="M573">
            <v>2011003599</v>
          </cell>
          <cell r="N573" t="str">
            <v>HASBULLAH</v>
          </cell>
          <cell r="O573" t="str">
            <v>HSB</v>
          </cell>
          <cell r="P573" t="str">
            <v>idmTDOS@jbr.indomaret.co.id</v>
          </cell>
          <cell r="Q573" t="str">
            <v>KOD. PROBOLINGGO</v>
          </cell>
          <cell r="R573" t="str">
            <v>MFF</v>
          </cell>
        </row>
        <row r="574">
          <cell r="D574" t="str">
            <v>TEOD</v>
          </cell>
          <cell r="E574" t="str">
            <v>PAJURANGAN</v>
          </cell>
          <cell r="F574" t="str">
            <v>JEMBER</v>
          </cell>
          <cell r="G574" t="str">
            <v>R</v>
          </cell>
          <cell r="H574">
            <v>43039</v>
          </cell>
          <cell r="I574" t="str">
            <v>STANDARD NEW</v>
          </cell>
          <cell r="J574">
            <v>2004009493</v>
          </cell>
          <cell r="K574" t="str">
            <v>SLAMET SUPRIYADI</v>
          </cell>
          <cell r="L574" t="str">
            <v>SYA</v>
          </cell>
          <cell r="M574">
            <v>2011003599</v>
          </cell>
          <cell r="N574" t="str">
            <v>HASBULLAH</v>
          </cell>
          <cell r="O574" t="str">
            <v>HSB</v>
          </cell>
          <cell r="P574" t="str">
            <v>idmTEOD@jbr.indomaret.co.id</v>
          </cell>
          <cell r="Q574" t="str">
            <v>KAB. PROBOLINGGO</v>
          </cell>
          <cell r="R574" t="str">
            <v>SDN</v>
          </cell>
        </row>
        <row r="575">
          <cell r="D575" t="str">
            <v>TF85</v>
          </cell>
          <cell r="E575" t="str">
            <v>FRESH PROBOLINGGO  3</v>
          </cell>
          <cell r="F575" t="str">
            <v>JEMBER</v>
          </cell>
          <cell r="G575" t="str">
            <v>R</v>
          </cell>
          <cell r="H575">
            <v>38923</v>
          </cell>
          <cell r="I575" t="str">
            <v>MATRIX FRESH</v>
          </cell>
          <cell r="J575">
            <v>2004009493</v>
          </cell>
          <cell r="K575" t="str">
            <v>SLAMET SUPRIYADI</v>
          </cell>
          <cell r="L575" t="str">
            <v>SYA</v>
          </cell>
          <cell r="M575">
            <v>2011003599</v>
          </cell>
          <cell r="N575" t="str">
            <v>HASBULLAH</v>
          </cell>
          <cell r="O575" t="str">
            <v>HSB</v>
          </cell>
          <cell r="P575" t="str">
            <v>idmTF85@jbr.indomaret.co.id</v>
          </cell>
          <cell r="Q575" t="str">
            <v>KOD. PROBOLINGGO</v>
          </cell>
          <cell r="R575" t="str">
            <v>MFF</v>
          </cell>
        </row>
        <row r="576">
          <cell r="D576" t="str">
            <v>TPEV</v>
          </cell>
          <cell r="E576" t="str">
            <v>RANDUPITU 6</v>
          </cell>
          <cell r="F576" t="str">
            <v>JEMBER</v>
          </cell>
          <cell r="G576" t="str">
            <v>R</v>
          </cell>
          <cell r="H576">
            <v>43469</v>
          </cell>
          <cell r="I576" t="str">
            <v>STANDARD NEW</v>
          </cell>
          <cell r="J576">
            <v>2004009493</v>
          </cell>
          <cell r="K576" t="str">
            <v>SLAMET SUPRIYADI</v>
          </cell>
          <cell r="L576" t="str">
            <v>SYA</v>
          </cell>
          <cell r="M576">
            <v>2011003599</v>
          </cell>
          <cell r="N576" t="str">
            <v>HASBULLAH</v>
          </cell>
          <cell r="O576" t="str">
            <v>HSB</v>
          </cell>
          <cell r="P576" t="str">
            <v>idmTPEV@jbr.indomaret.co.id</v>
          </cell>
          <cell r="Q576" t="str">
            <v>KAB. PROBOLINGGO</v>
          </cell>
          <cell r="R576" t="str">
            <v>SDN</v>
          </cell>
        </row>
        <row r="577">
          <cell r="D577" t="str">
            <v>TTRS</v>
          </cell>
          <cell r="E577" t="str">
            <v>SUKAPURA 159</v>
          </cell>
          <cell r="F577" t="str">
            <v>JEMBER</v>
          </cell>
          <cell r="G577" t="str">
            <v>R</v>
          </cell>
          <cell r="H577">
            <v>43736</v>
          </cell>
          <cell r="I577" t="str">
            <v>STANDARD NEW</v>
          </cell>
          <cell r="J577">
            <v>2004009493</v>
          </cell>
          <cell r="K577" t="str">
            <v>SLAMET SUPRIYADI</v>
          </cell>
          <cell r="L577" t="str">
            <v>SYA</v>
          </cell>
          <cell r="M577">
            <v>2011003599</v>
          </cell>
          <cell r="N577" t="str">
            <v>HASBULLAH</v>
          </cell>
          <cell r="O577" t="str">
            <v>HSB</v>
          </cell>
          <cell r="P577" t="str">
            <v>idmTTRS@jbr.indomaret.co.id</v>
          </cell>
          <cell r="Q577" t="str">
            <v>KAB. PROBOLINGGO</v>
          </cell>
          <cell r="R577" t="str">
            <v>SDN</v>
          </cell>
        </row>
        <row r="578">
          <cell r="D578" t="str">
            <v>F7J5</v>
          </cell>
          <cell r="E578" t="str">
            <v>KARANGBONG-PRB</v>
          </cell>
          <cell r="F578" t="str">
            <v>JEMBER</v>
          </cell>
          <cell r="G578" t="str">
            <v>F</v>
          </cell>
          <cell r="H578">
            <v>44743</v>
          </cell>
          <cell r="I578" t="str">
            <v xml:space="preserve">STANDARD </v>
          </cell>
          <cell r="J578">
            <v>2004009493</v>
          </cell>
          <cell r="K578" t="str">
            <v>SLAMET SUPRIYADI</v>
          </cell>
          <cell r="L578" t="str">
            <v>SYA</v>
          </cell>
          <cell r="M578">
            <v>2009046163</v>
          </cell>
          <cell r="N578" t="str">
            <v>SUL HADIYANTO</v>
          </cell>
          <cell r="O578" t="str">
            <v>SUL</v>
          </cell>
          <cell r="P578" t="str">
            <v>idF7J5@jbr.indomaret.co.id</v>
          </cell>
          <cell r="Q578" t="str">
            <v>KAB. PROBOLINGGO</v>
          </cell>
          <cell r="R578" t="str">
            <v>SDS</v>
          </cell>
        </row>
        <row r="579">
          <cell r="D579" t="str">
            <v>FAYA</v>
          </cell>
          <cell r="E579" t="str">
            <v>SEMAMPIR</v>
          </cell>
          <cell r="F579" t="str">
            <v>JEMBER</v>
          </cell>
          <cell r="G579" t="str">
            <v>F</v>
          </cell>
          <cell r="H579">
            <v>44866</v>
          </cell>
          <cell r="I579" t="str">
            <v xml:space="preserve">STANDARD </v>
          </cell>
          <cell r="J579">
            <v>2004009493</v>
          </cell>
          <cell r="K579" t="str">
            <v>SLAMET SUPRIYADI</v>
          </cell>
          <cell r="L579" t="str">
            <v>SYA</v>
          </cell>
          <cell r="M579">
            <v>2009046163</v>
          </cell>
          <cell r="N579" t="str">
            <v>SUL HADIYANTO</v>
          </cell>
          <cell r="O579" t="str">
            <v>SUL</v>
          </cell>
          <cell r="P579" t="str">
            <v>idFAYA@jbr.indomaret.co.id</v>
          </cell>
          <cell r="Q579" t="str">
            <v>KAB. PROBOLINGGO</v>
          </cell>
          <cell r="R579" t="str">
            <v>SDS</v>
          </cell>
        </row>
        <row r="580">
          <cell r="D580" t="str">
            <v>FNTB</v>
          </cell>
          <cell r="E580" t="str">
            <v>IR. H. JUANDA</v>
          </cell>
          <cell r="F580" t="str">
            <v>JEMBER</v>
          </cell>
          <cell r="G580" t="str">
            <v>F</v>
          </cell>
          <cell r="H580">
            <v>45626</v>
          </cell>
          <cell r="I580" t="str">
            <v xml:space="preserve">STANDARD </v>
          </cell>
          <cell r="J580">
            <v>2004009493</v>
          </cell>
          <cell r="K580" t="str">
            <v>SLAMET SUPRIYADI</v>
          </cell>
          <cell r="L580" t="str">
            <v>SYA</v>
          </cell>
          <cell r="M580">
            <v>2009046163</v>
          </cell>
          <cell r="N580" t="str">
            <v>SUL HADIYANTO</v>
          </cell>
          <cell r="O580" t="str">
            <v>SUL</v>
          </cell>
          <cell r="P580" t="str">
            <v>idFNTB@jbr.indomaret.co.id</v>
          </cell>
          <cell r="Q580" t="str">
            <v>KAB. PROBOLINGGO</v>
          </cell>
          <cell r="R580" t="str">
            <v>SDS</v>
          </cell>
        </row>
        <row r="581">
          <cell r="D581" t="str">
            <v>FPEE</v>
          </cell>
          <cell r="E581" t="str">
            <v>DIPONEGORO</v>
          </cell>
          <cell r="F581" t="str">
            <v>JEMBER</v>
          </cell>
          <cell r="G581" t="str">
            <v>F</v>
          </cell>
          <cell r="H581">
            <v>44851</v>
          </cell>
          <cell r="I581" t="str">
            <v xml:space="preserve">STANDARD </v>
          </cell>
          <cell r="J581">
            <v>2004009493</v>
          </cell>
          <cell r="K581" t="str">
            <v>SLAMET SUPRIYADI</v>
          </cell>
          <cell r="L581" t="str">
            <v>SYA</v>
          </cell>
          <cell r="M581">
            <v>2009046163</v>
          </cell>
          <cell r="N581" t="str">
            <v>SUL HADIYANTO</v>
          </cell>
          <cell r="O581" t="str">
            <v>SUL</v>
          </cell>
          <cell r="P581" t="str">
            <v>idFPEE@jbr.indomaret.co.id</v>
          </cell>
          <cell r="Q581" t="str">
            <v>KAB. PROBOLINGGO</v>
          </cell>
          <cell r="R581" t="str">
            <v>SDS</v>
          </cell>
        </row>
        <row r="582">
          <cell r="D582" t="str">
            <v>FPM0</v>
          </cell>
          <cell r="E582" t="str">
            <v>SPBU SEMAMPIR</v>
          </cell>
          <cell r="F582" t="str">
            <v>JEMBER</v>
          </cell>
          <cell r="G582" t="str">
            <v>F</v>
          </cell>
          <cell r="H582">
            <v>44327</v>
          </cell>
          <cell r="I582" t="str">
            <v xml:space="preserve">STANDARD </v>
          </cell>
          <cell r="J582">
            <v>2004009493</v>
          </cell>
          <cell r="K582" t="str">
            <v>SLAMET SUPRIYADI</v>
          </cell>
          <cell r="L582" t="str">
            <v>SYA</v>
          </cell>
          <cell r="M582">
            <v>2009046163</v>
          </cell>
          <cell r="N582" t="str">
            <v>SUL HADIYANTO</v>
          </cell>
          <cell r="O582" t="str">
            <v>SUL</v>
          </cell>
          <cell r="P582" t="str">
            <v>idFPM0@jbr.indomaret.co.id</v>
          </cell>
          <cell r="Q582" t="str">
            <v>KAB. PROBOLINGGO</v>
          </cell>
          <cell r="R582" t="str">
            <v>SDS</v>
          </cell>
        </row>
        <row r="583">
          <cell r="D583" t="str">
            <v>T7P0</v>
          </cell>
          <cell r="E583" t="str">
            <v>PB SUDIRMAN PAJARAKAN</v>
          </cell>
          <cell r="F583" t="str">
            <v>JEMBER</v>
          </cell>
          <cell r="G583" t="str">
            <v>R</v>
          </cell>
          <cell r="H583">
            <v>44619</v>
          </cell>
          <cell r="I583" t="str">
            <v xml:space="preserve">STANDARD </v>
          </cell>
          <cell r="J583">
            <v>2004009493</v>
          </cell>
          <cell r="K583" t="str">
            <v>SLAMET SUPRIYADI</v>
          </cell>
          <cell r="L583" t="str">
            <v>SYA</v>
          </cell>
          <cell r="M583">
            <v>2009046163</v>
          </cell>
          <cell r="N583" t="str">
            <v>SUL HADIYANTO</v>
          </cell>
          <cell r="O583" t="str">
            <v>SUL</v>
          </cell>
          <cell r="P583" t="str">
            <v>idmT7P0@jbr.indomaret.co.id</v>
          </cell>
          <cell r="Q583" t="str">
            <v>KAB. PROBOLINGGO</v>
          </cell>
          <cell r="R583" t="str">
            <v>SDS</v>
          </cell>
        </row>
        <row r="584">
          <cell r="D584" t="str">
            <v>TKKH</v>
          </cell>
          <cell r="E584" t="str">
            <v>WANGKAL</v>
          </cell>
          <cell r="F584" t="str">
            <v>JEMBER</v>
          </cell>
          <cell r="G584" t="str">
            <v>R</v>
          </cell>
          <cell r="H584">
            <v>45878</v>
          </cell>
          <cell r="I584" t="str">
            <v xml:space="preserve">STANDARD </v>
          </cell>
          <cell r="J584">
            <v>2004009493</v>
          </cell>
          <cell r="K584" t="str">
            <v>SLAMET SUPRIYADI</v>
          </cell>
          <cell r="L584" t="str">
            <v>SYA</v>
          </cell>
          <cell r="M584">
            <v>2009046163</v>
          </cell>
          <cell r="N584" t="str">
            <v>SUL HADIYANTO</v>
          </cell>
          <cell r="O584" t="str">
            <v>SUL</v>
          </cell>
          <cell r="P584" t="str">
            <v>idmTKKH@jbr.indomaret.co.id</v>
          </cell>
          <cell r="Q584" t="str">
            <v>KAB. PROBOLINGGO</v>
          </cell>
          <cell r="R584" t="str">
            <v>SDS</v>
          </cell>
        </row>
        <row r="585">
          <cell r="D585" t="str">
            <v>TKLK</v>
          </cell>
          <cell r="E585" t="str">
            <v>POINT REST AREA TOL 819 B - PBO</v>
          </cell>
          <cell r="F585" t="str">
            <v>JEMBER</v>
          </cell>
          <cell r="G585" t="str">
            <v>R</v>
          </cell>
          <cell r="H585">
            <v>43828</v>
          </cell>
          <cell r="I585" t="str">
            <v>MATRIX CONVINIENCE KHUSUS</v>
          </cell>
          <cell r="J585">
            <v>2004009493</v>
          </cell>
          <cell r="K585" t="str">
            <v>SLAMET SUPRIYADI</v>
          </cell>
          <cell r="L585" t="str">
            <v>SYA</v>
          </cell>
          <cell r="M585">
            <v>2009046163</v>
          </cell>
          <cell r="N585" t="str">
            <v>SUL HADIYANTO</v>
          </cell>
          <cell r="O585" t="str">
            <v>SUL</v>
          </cell>
          <cell r="P585" t="str">
            <v>idmTKLK@jbr.indomaret.co.id</v>
          </cell>
          <cell r="Q585" t="str">
            <v>KAB. PROBOLINGGO</v>
          </cell>
          <cell r="R585" t="str">
            <v>MCK</v>
          </cell>
        </row>
        <row r="586">
          <cell r="D586" t="str">
            <v>TKT1</v>
          </cell>
          <cell r="E586" t="str">
            <v>KREJENGAN</v>
          </cell>
          <cell r="F586" t="str">
            <v>JEMBER</v>
          </cell>
          <cell r="G586" t="str">
            <v>R</v>
          </cell>
          <cell r="H586">
            <v>45804</v>
          </cell>
          <cell r="I586" t="str">
            <v xml:space="preserve">STANDARD </v>
          </cell>
          <cell r="J586">
            <v>2004009493</v>
          </cell>
          <cell r="K586" t="str">
            <v>SLAMET SUPRIYADI</v>
          </cell>
          <cell r="L586" t="str">
            <v>SYA</v>
          </cell>
          <cell r="M586">
            <v>2009046163</v>
          </cell>
          <cell r="N586" t="str">
            <v>SUL HADIYANTO</v>
          </cell>
          <cell r="O586" t="str">
            <v>SUL</v>
          </cell>
          <cell r="P586" t="str">
            <v>idmTKT1@jbr.indomaret.co.id</v>
          </cell>
          <cell r="Q586" t="str">
            <v>KAB. PROBOLINGGO</v>
          </cell>
          <cell r="R586" t="str">
            <v>SDS</v>
          </cell>
        </row>
        <row r="587">
          <cell r="D587" t="str">
            <v>TMCE</v>
          </cell>
          <cell r="E587" t="str">
            <v>KRAJAN KRAKSAAN</v>
          </cell>
          <cell r="F587" t="str">
            <v>JEMBER</v>
          </cell>
          <cell r="G587" t="str">
            <v>R</v>
          </cell>
          <cell r="H587">
            <v>42368</v>
          </cell>
          <cell r="I587" t="str">
            <v xml:space="preserve">STANDARD </v>
          </cell>
          <cell r="J587">
            <v>2004009493</v>
          </cell>
          <cell r="K587" t="str">
            <v>SLAMET SUPRIYADI</v>
          </cell>
          <cell r="L587" t="str">
            <v>SYA</v>
          </cell>
          <cell r="M587">
            <v>2009046163</v>
          </cell>
          <cell r="N587" t="str">
            <v>SUL HADIYANTO</v>
          </cell>
          <cell r="O587" t="str">
            <v>SUL</v>
          </cell>
          <cell r="P587" t="str">
            <v>idmTMCE@jbr.indomaret.co.id</v>
          </cell>
          <cell r="Q587" t="str">
            <v>KAB. PROBOLINGGO</v>
          </cell>
          <cell r="R587" t="str">
            <v>SDS</v>
          </cell>
        </row>
        <row r="588">
          <cell r="D588" t="str">
            <v>TOBV</v>
          </cell>
          <cell r="E588" t="str">
            <v>DEWI RENGGANIS</v>
          </cell>
          <cell r="F588" t="str">
            <v>JEMBER</v>
          </cell>
          <cell r="G588" t="str">
            <v>R</v>
          </cell>
          <cell r="H588">
            <v>45944</v>
          </cell>
          <cell r="I588" t="str">
            <v xml:space="preserve">STANDARD </v>
          </cell>
          <cell r="J588">
            <v>2004009493</v>
          </cell>
          <cell r="K588" t="str">
            <v>SLAMET SUPRIYADI</v>
          </cell>
          <cell r="L588" t="str">
            <v>SYA</v>
          </cell>
          <cell r="M588">
            <v>2009046163</v>
          </cell>
          <cell r="N588" t="str">
            <v>SUL HADIYANTO</v>
          </cell>
          <cell r="O588" t="str">
            <v>SUL</v>
          </cell>
          <cell r="P588" t="str">
            <v>idmTOBV@jbr.indomaret.co.id</v>
          </cell>
          <cell r="Q588" t="str">
            <v>KAB. PROBOLINGGO</v>
          </cell>
          <cell r="R588" t="str">
            <v>SDS</v>
          </cell>
        </row>
        <row r="589">
          <cell r="D589" t="str">
            <v>TTZG</v>
          </cell>
          <cell r="E589" t="str">
            <v>RAYA CONDONG</v>
          </cell>
          <cell r="F589" t="str">
            <v>JEMBER</v>
          </cell>
          <cell r="G589" t="str">
            <v>R</v>
          </cell>
          <cell r="H589">
            <v>45596</v>
          </cell>
          <cell r="I589" t="str">
            <v xml:space="preserve">STANDARD </v>
          </cell>
          <cell r="J589">
            <v>2004009493</v>
          </cell>
          <cell r="K589" t="str">
            <v>SLAMET SUPRIYADI</v>
          </cell>
          <cell r="L589" t="str">
            <v>SYA</v>
          </cell>
          <cell r="M589">
            <v>2009046163</v>
          </cell>
          <cell r="N589" t="str">
            <v>SUL HADIYANTO</v>
          </cell>
          <cell r="O589" t="str">
            <v>SUL</v>
          </cell>
          <cell r="P589" t="str">
            <v>idmTTZG@jbr.indomaret.co.id</v>
          </cell>
          <cell r="Q589" t="str">
            <v>KAB. PROBOLINGGO</v>
          </cell>
          <cell r="R589" t="str">
            <v>SDS</v>
          </cell>
        </row>
        <row r="590">
          <cell r="D590" t="str">
            <v>F7OO</v>
          </cell>
          <cell r="E590" t="str">
            <v>PB SUDIRMAN KM 133</v>
          </cell>
          <cell r="F590" t="str">
            <v>JEMBER</v>
          </cell>
          <cell r="G590" t="str">
            <v>F</v>
          </cell>
          <cell r="H590">
            <v>45625</v>
          </cell>
          <cell r="I590" t="str">
            <v xml:space="preserve">STANDARD </v>
          </cell>
          <cell r="J590">
            <v>2004009493</v>
          </cell>
          <cell r="K590" t="str">
            <v>SLAMET SUPRIYADI</v>
          </cell>
          <cell r="L590" t="str">
            <v>SYA</v>
          </cell>
          <cell r="M590">
            <v>2005008336</v>
          </cell>
          <cell r="N590" t="str">
            <v>MOCHAMMAD NURUL ANWAR</v>
          </cell>
          <cell r="O590" t="str">
            <v>WAR</v>
          </cell>
          <cell r="P590" t="str">
            <v>idF7OO@jbr.indomaret.co.id</v>
          </cell>
          <cell r="Q590" t="str">
            <v>KAB. PROBOLINGGO</v>
          </cell>
          <cell r="R590" t="str">
            <v>SDS</v>
          </cell>
        </row>
        <row r="591">
          <cell r="D591" t="str">
            <v>FBNH</v>
          </cell>
          <cell r="E591" t="str">
            <v>SUMBER ANYAR - PBO</v>
          </cell>
          <cell r="F591" t="str">
            <v>JEMBER</v>
          </cell>
          <cell r="G591" t="str">
            <v>F</v>
          </cell>
          <cell r="H591">
            <v>44927</v>
          </cell>
          <cell r="I591" t="str">
            <v xml:space="preserve">STANDARD </v>
          </cell>
          <cell r="J591">
            <v>2004009493</v>
          </cell>
          <cell r="K591" t="str">
            <v>SLAMET SUPRIYADI</v>
          </cell>
          <cell r="L591" t="str">
            <v>SYA</v>
          </cell>
          <cell r="M591">
            <v>2005008336</v>
          </cell>
          <cell r="N591" t="str">
            <v>MOCHAMMAD NURUL ANWAR</v>
          </cell>
          <cell r="O591" t="str">
            <v>WAR</v>
          </cell>
          <cell r="P591" t="str">
            <v>idFBNH@jbr.indomaret.co.id</v>
          </cell>
          <cell r="Q591" t="str">
            <v>KAB. PROBOLINGGO</v>
          </cell>
          <cell r="R591" t="str">
            <v>SDS</v>
          </cell>
        </row>
        <row r="592">
          <cell r="D592" t="str">
            <v>FDKW</v>
          </cell>
          <cell r="E592" t="str">
            <v>SIDOMUKTI</v>
          </cell>
          <cell r="F592" t="str">
            <v>JEMBER</v>
          </cell>
          <cell r="G592" t="str">
            <v>F</v>
          </cell>
          <cell r="H592">
            <v>44325</v>
          </cell>
          <cell r="I592" t="str">
            <v xml:space="preserve">STANDARD </v>
          </cell>
          <cell r="J592">
            <v>2004009493</v>
          </cell>
          <cell r="K592" t="str">
            <v>SLAMET SUPRIYADI</v>
          </cell>
          <cell r="L592" t="str">
            <v>SYA</v>
          </cell>
          <cell r="M592">
            <v>2005008336</v>
          </cell>
          <cell r="N592" t="str">
            <v>MOCHAMMAD NURUL ANWAR</v>
          </cell>
          <cell r="O592" t="str">
            <v>WAR</v>
          </cell>
          <cell r="P592" t="str">
            <v>idFDKW@jbr.indomaret.co.id</v>
          </cell>
          <cell r="Q592" t="str">
            <v>KAB. PROBOLINGGO</v>
          </cell>
          <cell r="R592" t="str">
            <v>SDS</v>
          </cell>
        </row>
        <row r="593">
          <cell r="D593" t="str">
            <v>FE8P</v>
          </cell>
          <cell r="E593" t="str">
            <v>JABUNG CANDI</v>
          </cell>
          <cell r="F593" t="str">
            <v>JEMBER</v>
          </cell>
          <cell r="G593" t="str">
            <v>F</v>
          </cell>
          <cell r="H593">
            <v>44316</v>
          </cell>
          <cell r="I593" t="str">
            <v xml:space="preserve">STANDARD </v>
          </cell>
          <cell r="J593">
            <v>2004009493</v>
          </cell>
          <cell r="K593" t="str">
            <v>SLAMET SUPRIYADI</v>
          </cell>
          <cell r="L593" t="str">
            <v>SYA</v>
          </cell>
          <cell r="M593">
            <v>2005008336</v>
          </cell>
          <cell r="N593" t="str">
            <v>MOCHAMMAD NURUL ANWAR</v>
          </cell>
          <cell r="O593" t="str">
            <v>WAR</v>
          </cell>
          <cell r="P593" t="str">
            <v>idFE8P@jbr.indomaret.co.id</v>
          </cell>
          <cell r="Q593" t="str">
            <v>KAB. PROBOLINGGO</v>
          </cell>
          <cell r="R593" t="str">
            <v>SDS</v>
          </cell>
        </row>
        <row r="594">
          <cell r="D594" t="str">
            <v>FMHF</v>
          </cell>
          <cell r="E594" t="str">
            <v>ALASSUMUR KULON</v>
          </cell>
          <cell r="F594" t="str">
            <v>JEMBER</v>
          </cell>
          <cell r="G594" t="str">
            <v>F</v>
          </cell>
          <cell r="H594">
            <v>44831</v>
          </cell>
          <cell r="I594" t="str">
            <v xml:space="preserve">STANDARD </v>
          </cell>
          <cell r="J594">
            <v>2004009493</v>
          </cell>
          <cell r="K594" t="str">
            <v>SLAMET SUPRIYADI</v>
          </cell>
          <cell r="L594" t="str">
            <v>SYA</v>
          </cell>
          <cell r="M594">
            <v>2005008336</v>
          </cell>
          <cell r="N594" t="str">
            <v>MOCHAMMAD NURUL ANWAR</v>
          </cell>
          <cell r="O594" t="str">
            <v>WAR</v>
          </cell>
          <cell r="P594" t="str">
            <v>idFMHF@jbr.indomaret.co.id</v>
          </cell>
          <cell r="Q594" t="str">
            <v>KAB. PROBOLINGGO</v>
          </cell>
          <cell r="R594" t="str">
            <v>SDS</v>
          </cell>
        </row>
        <row r="595">
          <cell r="D595" t="str">
            <v>T128</v>
          </cell>
          <cell r="E595" t="str">
            <v>SAMBIRAMPAK</v>
          </cell>
          <cell r="F595" t="str">
            <v>JEMBER</v>
          </cell>
          <cell r="G595" t="str">
            <v>R</v>
          </cell>
          <cell r="H595">
            <v>45925</v>
          </cell>
          <cell r="I595" t="str">
            <v xml:space="preserve">STANDARD </v>
          </cell>
          <cell r="J595">
            <v>2004009493</v>
          </cell>
          <cell r="K595" t="str">
            <v>SLAMET SUPRIYADI</v>
          </cell>
          <cell r="L595" t="str">
            <v>SYA</v>
          </cell>
          <cell r="M595">
            <v>2005008336</v>
          </cell>
          <cell r="N595" t="str">
            <v>MOCHAMMAD NURUL ANWAR</v>
          </cell>
          <cell r="O595" t="str">
            <v>WAR</v>
          </cell>
          <cell r="P595" t="str">
            <v>idmT128@jbr.indomaret.co.id</v>
          </cell>
          <cell r="Q595" t="str">
            <v>KAB. PROBOLINGGO</v>
          </cell>
          <cell r="R595" t="str">
            <v>SDS</v>
          </cell>
        </row>
        <row r="596">
          <cell r="D596" t="str">
            <v>TGWO</v>
          </cell>
          <cell r="E596" t="str">
            <v>TANJUNG - PAITON</v>
          </cell>
          <cell r="F596" t="str">
            <v>JEMBER</v>
          </cell>
          <cell r="G596" t="str">
            <v>R</v>
          </cell>
          <cell r="H596">
            <v>42705</v>
          </cell>
          <cell r="I596" t="str">
            <v xml:space="preserve">STANDARD </v>
          </cell>
          <cell r="J596">
            <v>2004009493</v>
          </cell>
          <cell r="K596" t="str">
            <v>SLAMET SUPRIYADI</v>
          </cell>
          <cell r="L596" t="str">
            <v>SYA</v>
          </cell>
          <cell r="M596">
            <v>2005008336</v>
          </cell>
          <cell r="N596" t="str">
            <v>MOCHAMMAD NURUL ANWAR</v>
          </cell>
          <cell r="O596" t="str">
            <v>WAR</v>
          </cell>
          <cell r="P596" t="str">
            <v>idmTGWO@jbr.indomaret.co.id</v>
          </cell>
          <cell r="Q596" t="str">
            <v>KAB. PROBOLINGGO</v>
          </cell>
          <cell r="R596" t="str">
            <v>SDS</v>
          </cell>
        </row>
        <row r="597">
          <cell r="D597" t="str">
            <v>TJSW</v>
          </cell>
          <cell r="E597" t="str">
            <v>KEBON AGUNG</v>
          </cell>
          <cell r="F597" t="str">
            <v>JEMBER</v>
          </cell>
          <cell r="G597" t="str">
            <v>R</v>
          </cell>
          <cell r="H597">
            <v>43678</v>
          </cell>
          <cell r="I597" t="str">
            <v xml:space="preserve">STANDARD </v>
          </cell>
          <cell r="J597">
            <v>2004009493</v>
          </cell>
          <cell r="K597" t="str">
            <v>SLAMET SUPRIYADI</v>
          </cell>
          <cell r="L597" t="str">
            <v>SYA</v>
          </cell>
          <cell r="M597">
            <v>2005008336</v>
          </cell>
          <cell r="N597" t="str">
            <v>MOCHAMMAD NURUL ANWAR</v>
          </cell>
          <cell r="O597" t="str">
            <v>WAR</v>
          </cell>
          <cell r="P597" t="str">
            <v>idmTJSW@jbr.indomaret.co.id</v>
          </cell>
          <cell r="Q597" t="str">
            <v>KAB. PROBOLINGGO</v>
          </cell>
          <cell r="R597" t="str">
            <v>SDS</v>
          </cell>
        </row>
        <row r="598">
          <cell r="D598" t="str">
            <v>TMKG</v>
          </cell>
          <cell r="E598" t="str">
            <v>RAYA BAGO 152</v>
          </cell>
          <cell r="F598" t="str">
            <v>JEMBER</v>
          </cell>
          <cell r="G598" t="str">
            <v>R</v>
          </cell>
          <cell r="H598">
            <v>46019</v>
          </cell>
          <cell r="I598" t="str">
            <v xml:space="preserve">STANDARD </v>
          </cell>
          <cell r="J598">
            <v>2004009493</v>
          </cell>
          <cell r="K598" t="str">
            <v>SLAMET SUPRIYADI</v>
          </cell>
          <cell r="L598" t="str">
            <v>SYA</v>
          </cell>
          <cell r="M598">
            <v>2005008336</v>
          </cell>
          <cell r="N598" t="str">
            <v>MOCHAMMAD NURUL ANWAR</v>
          </cell>
          <cell r="O598" t="str">
            <v>WAR</v>
          </cell>
          <cell r="P598" t="str">
            <v>idmTMKG@jbr.indomaret.co.id</v>
          </cell>
          <cell r="Q598" t="str">
            <v>KAB. PROBOLINGGO</v>
          </cell>
          <cell r="R598" t="str">
            <v>SDS</v>
          </cell>
        </row>
        <row r="599">
          <cell r="D599" t="str">
            <v>TQ7M</v>
          </cell>
          <cell r="E599" t="str">
            <v>BESUK</v>
          </cell>
          <cell r="F599" t="str">
            <v>JEMBER</v>
          </cell>
          <cell r="G599" t="str">
            <v>R</v>
          </cell>
          <cell r="H599">
            <v>45891</v>
          </cell>
          <cell r="I599" t="str">
            <v xml:space="preserve">STANDARD </v>
          </cell>
          <cell r="J599">
            <v>2004009493</v>
          </cell>
          <cell r="K599" t="str">
            <v>SLAMET SUPRIYADI</v>
          </cell>
          <cell r="L599" t="str">
            <v>SYA</v>
          </cell>
          <cell r="M599">
            <v>2005008336</v>
          </cell>
          <cell r="N599" t="str">
            <v>MOCHAMMAD NURUL ANWAR</v>
          </cell>
          <cell r="O599" t="str">
            <v>WAR</v>
          </cell>
          <cell r="P599" t="str">
            <v>idmTQ7M@jbr.indomaret.co.id</v>
          </cell>
          <cell r="Q599" t="str">
            <v>KAB. PROBOLINGGO</v>
          </cell>
          <cell r="R599" t="str">
            <v>SDS</v>
          </cell>
        </row>
        <row r="600">
          <cell r="D600" t="str">
            <v>TRIN</v>
          </cell>
          <cell r="E600" t="str">
            <v>JABUNG SISIR</v>
          </cell>
          <cell r="F600" t="str">
            <v>JEMBER</v>
          </cell>
          <cell r="G600" t="str">
            <v>R</v>
          </cell>
          <cell r="H600">
            <v>43008</v>
          </cell>
          <cell r="I600" t="str">
            <v xml:space="preserve">STANDARD </v>
          </cell>
          <cell r="J600">
            <v>2004009493</v>
          </cell>
          <cell r="K600" t="str">
            <v>SLAMET SUPRIYADI</v>
          </cell>
          <cell r="L600" t="str">
            <v>SYA</v>
          </cell>
          <cell r="M600">
            <v>2005008336</v>
          </cell>
          <cell r="N600" t="str">
            <v>MOCHAMMAD NURUL ANWAR</v>
          </cell>
          <cell r="O600" t="str">
            <v>WAR</v>
          </cell>
          <cell r="P600" t="str">
            <v>idmTRIN@jbr.indomaret.co.id</v>
          </cell>
          <cell r="Q600" t="str">
            <v>KAB. PROBOLINGGO</v>
          </cell>
          <cell r="R600" t="str">
            <v>SDS</v>
          </cell>
        </row>
        <row r="601">
          <cell r="D601" t="str">
            <v>TRKU</v>
          </cell>
          <cell r="E601" t="str">
            <v>PAITON 2</v>
          </cell>
          <cell r="F601" t="str">
            <v>JEMBER</v>
          </cell>
          <cell r="G601" t="str">
            <v>R</v>
          </cell>
          <cell r="H601">
            <v>42675</v>
          </cell>
          <cell r="I601" t="str">
            <v xml:space="preserve">STANDARD </v>
          </cell>
          <cell r="J601">
            <v>2004009493</v>
          </cell>
          <cell r="K601" t="str">
            <v>SLAMET SUPRIYADI</v>
          </cell>
          <cell r="L601" t="str">
            <v>SYA</v>
          </cell>
          <cell r="M601">
            <v>2005008336</v>
          </cell>
          <cell r="N601" t="str">
            <v>MOCHAMMAD NURUL ANWAR</v>
          </cell>
          <cell r="O601" t="str">
            <v>WAR</v>
          </cell>
          <cell r="P601" t="str">
            <v>idmTRKU@jbr.indomaret.co.id</v>
          </cell>
          <cell r="Q601" t="str">
            <v>KAB. PROBOLINGGO</v>
          </cell>
          <cell r="R601" t="str">
            <v>SDS</v>
          </cell>
        </row>
        <row r="602">
          <cell r="D602" t="str">
            <v>TIIQ</v>
          </cell>
          <cell r="E602" t="str">
            <v>TOKO EVENT</v>
          </cell>
          <cell r="F602" t="str">
            <v>JEMBER</v>
          </cell>
          <cell r="L602" t="str">
            <v>CHA</v>
          </cell>
          <cell r="O602" t="str">
            <v>EAW</v>
          </cell>
        </row>
        <row r="603">
          <cell r="D603" t="str">
            <v>TDD7</v>
          </cell>
          <cell r="E603" t="str">
            <v>I MOBIL</v>
          </cell>
          <cell r="F603" t="str">
            <v>JEMBER</v>
          </cell>
          <cell r="L603" t="str">
            <v>CHA</v>
          </cell>
          <cell r="O603" t="str">
            <v>EAW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T4AZ</v>
          </cell>
          <cell r="B2" t="str">
            <v>T4AZ-BASUKI RAH</v>
          </cell>
          <cell r="C2">
            <v>0</v>
          </cell>
        </row>
        <row r="3">
          <cell r="A3" t="str">
            <v>T4EU</v>
          </cell>
          <cell r="B3" t="str">
            <v>T4EU-AHMAD YANI</v>
          </cell>
          <cell r="C3">
            <v>8</v>
          </cell>
        </row>
        <row r="4">
          <cell r="A4" t="str">
            <v>T7A7</v>
          </cell>
          <cell r="B4" t="str">
            <v>T7A7-ADAM MALIK</v>
          </cell>
          <cell r="C4">
            <v>0</v>
          </cell>
        </row>
        <row r="5">
          <cell r="A5" t="str">
            <v>T9HC</v>
          </cell>
          <cell r="B5" t="str">
            <v>T9HC-WEWEWA BAR</v>
          </cell>
          <cell r="C5">
            <v>18</v>
          </cell>
        </row>
        <row r="6">
          <cell r="A6" t="str">
            <v>TB2N</v>
          </cell>
          <cell r="B6" t="str">
            <v>TB2N-YOS SUDARS</v>
          </cell>
          <cell r="C6">
            <v>2</v>
          </cell>
        </row>
        <row r="7">
          <cell r="A7" t="str">
            <v>THYS</v>
          </cell>
          <cell r="B7" t="str">
            <v>THYS-KODI UTARA</v>
          </cell>
          <cell r="C7">
            <v>2</v>
          </cell>
        </row>
        <row r="8">
          <cell r="A8" t="str">
            <v>TJUD</v>
          </cell>
          <cell r="B8" t="str">
            <v>TJUD-LEDE KALUM</v>
          </cell>
          <cell r="C8">
            <v>2</v>
          </cell>
        </row>
        <row r="9">
          <cell r="A9" t="str">
            <v>TKG3</v>
          </cell>
          <cell r="B9" t="str">
            <v>TKG3-BONDO KODI</v>
          </cell>
          <cell r="C9">
            <v>4</v>
          </cell>
        </row>
        <row r="10">
          <cell r="A10" t="str">
            <v>TL0I</v>
          </cell>
          <cell r="B10" t="str">
            <v>TL0I-RAJA YOHAN</v>
          </cell>
          <cell r="C10">
            <v>3</v>
          </cell>
        </row>
        <row r="11">
          <cell r="A11" t="str">
            <v>TMO0</v>
          </cell>
          <cell r="B11" t="str">
            <v>TMO0-MATAWAI AM</v>
          </cell>
          <cell r="C11">
            <v>9</v>
          </cell>
        </row>
        <row r="12">
          <cell r="A12" t="str">
            <v>TP3T</v>
          </cell>
          <cell r="B12" t="str">
            <v>TP3T-BHAYANGKAR</v>
          </cell>
          <cell r="C12">
            <v>4</v>
          </cell>
        </row>
        <row r="13">
          <cell r="A13" t="str">
            <v>TQJK</v>
          </cell>
          <cell r="B13" t="str">
            <v>TQJK-D.I. PANJA</v>
          </cell>
          <cell r="C13">
            <v>10</v>
          </cell>
        </row>
        <row r="14">
          <cell r="A14" t="str">
            <v>TUXZ</v>
          </cell>
          <cell r="B14" t="str">
            <v>TUXZ-PRAILIU SU</v>
          </cell>
          <cell r="C14">
            <v>2</v>
          </cell>
        </row>
        <row r="15">
          <cell r="A15" t="str">
            <v>TXQN</v>
          </cell>
          <cell r="B15" t="str">
            <v>TXQN-RAYA ANAKA</v>
          </cell>
          <cell r="C15">
            <v>0</v>
          </cell>
        </row>
        <row r="16">
          <cell r="A16" t="str">
            <v>TZAM</v>
          </cell>
          <cell r="B16" t="str">
            <v>TZAM-A. YANI WA</v>
          </cell>
          <cell r="C16">
            <v>4</v>
          </cell>
        </row>
        <row r="17">
          <cell r="A17" t="str">
            <v>T0KG</v>
          </cell>
          <cell r="B17" t="str">
            <v>T0KG-TIMOR RAYA</v>
          </cell>
          <cell r="C17">
            <v>1</v>
          </cell>
        </row>
        <row r="18">
          <cell r="A18" t="str">
            <v>T0UB</v>
          </cell>
          <cell r="B18" t="str">
            <v>T0UB-PAHLAWAN A</v>
          </cell>
          <cell r="C18">
            <v>0</v>
          </cell>
        </row>
        <row r="19">
          <cell r="A19" t="str">
            <v>T0VA</v>
          </cell>
          <cell r="B19" t="str">
            <v>T0VA-TIMOR RAYA</v>
          </cell>
          <cell r="C19">
            <v>3</v>
          </cell>
        </row>
        <row r="20">
          <cell r="A20" t="str">
            <v>T1DW</v>
          </cell>
          <cell r="B20" t="str">
            <v>T1DW-R. E. MART</v>
          </cell>
          <cell r="C20">
            <v>3</v>
          </cell>
        </row>
        <row r="21">
          <cell r="A21" t="str">
            <v>T1F4</v>
          </cell>
          <cell r="B21" t="str">
            <v>T1F4-JENDRAL SU</v>
          </cell>
          <cell r="C21">
            <v>9</v>
          </cell>
        </row>
        <row r="22">
          <cell r="A22" t="str">
            <v>T1WS</v>
          </cell>
          <cell r="B22" t="str">
            <v>T1WS-A. YANI ME</v>
          </cell>
          <cell r="C22">
            <v>6</v>
          </cell>
        </row>
        <row r="23">
          <cell r="A23" t="str">
            <v>T2WX</v>
          </cell>
          <cell r="B23" t="str">
            <v>T2WX-AMABI TOFA</v>
          </cell>
          <cell r="C23">
            <v>4</v>
          </cell>
        </row>
        <row r="24">
          <cell r="A24" t="str">
            <v>T2ZE</v>
          </cell>
          <cell r="B24" t="str">
            <v>T2ZE-FATUBESI K</v>
          </cell>
          <cell r="C24">
            <v>0</v>
          </cell>
        </row>
        <row r="25">
          <cell r="A25" t="str">
            <v>T3AX</v>
          </cell>
          <cell r="B25" t="str">
            <v>T3AX-OELATA RAY</v>
          </cell>
          <cell r="C25">
            <v>0</v>
          </cell>
        </row>
        <row r="26">
          <cell r="A26" t="str">
            <v>T47S</v>
          </cell>
          <cell r="B26" t="str">
            <v>T47S-TIMOR RAYA</v>
          </cell>
          <cell r="C26">
            <v>5</v>
          </cell>
        </row>
        <row r="27">
          <cell r="A27" t="str">
            <v>T53I</v>
          </cell>
          <cell r="B27" t="str">
            <v>T53I-TIMOR RAYA</v>
          </cell>
          <cell r="C27">
            <v>0</v>
          </cell>
        </row>
        <row r="28">
          <cell r="A28" t="str">
            <v>T5R3</v>
          </cell>
          <cell r="B28" t="str">
            <v>T5R3-JEND. SOEH</v>
          </cell>
          <cell r="C28">
            <v>0</v>
          </cell>
        </row>
        <row r="29">
          <cell r="A29" t="str">
            <v>T6AH</v>
          </cell>
          <cell r="B29" t="str">
            <v>T6AH-HAYAM WURU</v>
          </cell>
          <cell r="C29">
            <v>1</v>
          </cell>
        </row>
        <row r="30">
          <cell r="A30" t="str">
            <v>T6VC</v>
          </cell>
          <cell r="B30" t="str">
            <v>T6VC-PIET A TAL</v>
          </cell>
          <cell r="C30">
            <v>6</v>
          </cell>
        </row>
        <row r="31">
          <cell r="A31" t="str">
            <v>T79P</v>
          </cell>
          <cell r="B31" t="str">
            <v>T79P-HR KOROH B</v>
          </cell>
          <cell r="C31">
            <v>4</v>
          </cell>
        </row>
        <row r="32">
          <cell r="A32" t="str">
            <v>T9D7</v>
          </cell>
          <cell r="B32" t="str">
            <v>T9D7-JAMBU MANU</v>
          </cell>
          <cell r="C32">
            <v>14</v>
          </cell>
        </row>
        <row r="33">
          <cell r="A33" t="str">
            <v>T9G3</v>
          </cell>
          <cell r="B33" t="str">
            <v xml:space="preserve">T9G3-SILIWANGI </v>
          </cell>
          <cell r="C33">
            <v>0</v>
          </cell>
        </row>
        <row r="34">
          <cell r="A34" t="str">
            <v>T9RY</v>
          </cell>
          <cell r="B34" t="str">
            <v>T9RY-TR. CAMPLO</v>
          </cell>
          <cell r="C34">
            <v>0</v>
          </cell>
        </row>
        <row r="35">
          <cell r="A35" t="str">
            <v>TAX0</v>
          </cell>
          <cell r="B35" t="str">
            <v>TAX0-FRANS LEBU</v>
          </cell>
          <cell r="C35">
            <v>6</v>
          </cell>
        </row>
        <row r="36">
          <cell r="A36" t="str">
            <v>TBRI</v>
          </cell>
          <cell r="B36" t="str">
            <v>TBRI-W. J. LALA</v>
          </cell>
          <cell r="C36">
            <v>0</v>
          </cell>
        </row>
        <row r="37">
          <cell r="A37" t="str">
            <v>TBY5</v>
          </cell>
          <cell r="B37" t="str">
            <v>TBY5-RAYA ATAMB</v>
          </cell>
          <cell r="C37">
            <v>1</v>
          </cell>
        </row>
        <row r="38">
          <cell r="A38" t="str">
            <v>TC8O</v>
          </cell>
          <cell r="B38" t="str">
            <v>TC8O-BUMI 1 LIL</v>
          </cell>
          <cell r="C38">
            <v>3</v>
          </cell>
        </row>
        <row r="39">
          <cell r="A39" t="str">
            <v>TCGA</v>
          </cell>
          <cell r="B39" t="str">
            <v>TCGA-FETOR FUNA</v>
          </cell>
          <cell r="C39">
            <v>0</v>
          </cell>
        </row>
        <row r="40">
          <cell r="A40" t="str">
            <v>TCWJ</v>
          </cell>
          <cell r="B40" t="str">
            <v>TCWJ-LINGKAR LU</v>
          </cell>
          <cell r="C40">
            <v>1</v>
          </cell>
        </row>
        <row r="41">
          <cell r="A41" t="str">
            <v>TDHB</v>
          </cell>
          <cell r="B41" t="str">
            <v>TDHB-TIMOR RAYA</v>
          </cell>
          <cell r="C41">
            <v>0</v>
          </cell>
        </row>
        <row r="42">
          <cell r="A42" t="str">
            <v>TDJ1</v>
          </cell>
          <cell r="B42" t="str">
            <v>TDJ1-JENDRAL SU</v>
          </cell>
          <cell r="C42">
            <v>2</v>
          </cell>
        </row>
        <row r="43">
          <cell r="A43" t="str">
            <v>TDP9</v>
          </cell>
          <cell r="B43" t="str">
            <v>TDP9-RAYA HALIL</v>
          </cell>
          <cell r="C43">
            <v>0</v>
          </cell>
        </row>
        <row r="44">
          <cell r="A44" t="str">
            <v>TE1Y</v>
          </cell>
          <cell r="B44" t="str">
            <v>TE1Y-TAEBENU NA</v>
          </cell>
          <cell r="C44">
            <v>0</v>
          </cell>
        </row>
        <row r="45">
          <cell r="A45" t="str">
            <v>TE9I</v>
          </cell>
          <cell r="B45" t="str">
            <v>TE9I-A. YANI SO</v>
          </cell>
          <cell r="C45">
            <v>0</v>
          </cell>
        </row>
        <row r="46">
          <cell r="A46" t="str">
            <v>TEL7</v>
          </cell>
          <cell r="B46" t="str">
            <v>TEL7-VETERAN NO</v>
          </cell>
          <cell r="C46">
            <v>4</v>
          </cell>
        </row>
        <row r="47">
          <cell r="A47" t="str">
            <v>TEYX</v>
          </cell>
          <cell r="B47" t="str">
            <v>TEYX-YOS SUDARS</v>
          </cell>
          <cell r="C47">
            <v>0</v>
          </cell>
        </row>
        <row r="48">
          <cell r="A48" t="str">
            <v>TFK8</v>
          </cell>
          <cell r="B48" t="str">
            <v>TFK8-SAMRATULAN</v>
          </cell>
          <cell r="C48">
            <v>6</v>
          </cell>
        </row>
        <row r="49">
          <cell r="A49" t="str">
            <v>TFMT</v>
          </cell>
          <cell r="B49" t="str">
            <v>TFMT-RAYA MATAN</v>
          </cell>
          <cell r="C49">
            <v>2</v>
          </cell>
        </row>
        <row r="50">
          <cell r="A50" t="str">
            <v>TFPR</v>
          </cell>
          <cell r="B50" t="str">
            <v>TFPR-ADI SUCIPT</v>
          </cell>
          <cell r="C50">
            <v>2</v>
          </cell>
        </row>
        <row r="51">
          <cell r="A51" t="str">
            <v>TFXL</v>
          </cell>
          <cell r="B51" t="str">
            <v>TFXL-TIMOR RAYA</v>
          </cell>
          <cell r="C51">
            <v>3</v>
          </cell>
        </row>
        <row r="52">
          <cell r="A52" t="str">
            <v>TFYM</v>
          </cell>
          <cell r="B52" t="str">
            <v>TFYM-AHMAD YANI</v>
          </cell>
          <cell r="C52">
            <v>0</v>
          </cell>
        </row>
        <row r="53">
          <cell r="A53" t="str">
            <v>TG5D</v>
          </cell>
          <cell r="B53" t="str">
            <v>TG5D-PENKASE NO</v>
          </cell>
          <cell r="C53">
            <v>0</v>
          </cell>
        </row>
        <row r="54">
          <cell r="A54" t="str">
            <v>TG5Z</v>
          </cell>
          <cell r="B54" t="str">
            <v xml:space="preserve">TG5Z-ELTARI KM </v>
          </cell>
          <cell r="C54">
            <v>0</v>
          </cell>
        </row>
        <row r="55">
          <cell r="A55" t="str">
            <v>TG6T</v>
          </cell>
          <cell r="B55" t="str">
            <v>TG6T-HR KOROH O</v>
          </cell>
          <cell r="C55">
            <v>0</v>
          </cell>
        </row>
        <row r="56">
          <cell r="A56" t="str">
            <v>THXA</v>
          </cell>
          <cell r="B56" t="str">
            <v>THXA-THAMRIN KA</v>
          </cell>
          <cell r="C56">
            <v>1</v>
          </cell>
        </row>
        <row r="57">
          <cell r="A57" t="str">
            <v>TIHU</v>
          </cell>
          <cell r="B57" t="str">
            <v>TIHU-PERINTIS K</v>
          </cell>
          <cell r="C57">
            <v>0</v>
          </cell>
        </row>
        <row r="58">
          <cell r="A58" t="str">
            <v>TJAX</v>
          </cell>
          <cell r="B58" t="str">
            <v>TJAX-MARSDA ADI</v>
          </cell>
          <cell r="C58">
            <v>1</v>
          </cell>
        </row>
        <row r="59">
          <cell r="A59" t="str">
            <v>TKEA</v>
          </cell>
          <cell r="B59" t="str">
            <v>TKEA-KEFAMENANU</v>
          </cell>
          <cell r="C59">
            <v>2</v>
          </cell>
        </row>
        <row r="60">
          <cell r="A60" t="str">
            <v>TLBM</v>
          </cell>
          <cell r="B60" t="str">
            <v>TLBM-CAK DOKO 4</v>
          </cell>
          <cell r="C60">
            <v>1</v>
          </cell>
        </row>
        <row r="61">
          <cell r="A61" t="str">
            <v>TLN2</v>
          </cell>
          <cell r="B61" t="str">
            <v>TLN2-TIMOR RAYA</v>
          </cell>
          <cell r="C61">
            <v>0</v>
          </cell>
        </row>
        <row r="62">
          <cell r="A62" t="str">
            <v>TLNE</v>
          </cell>
          <cell r="B62" t="str">
            <v>TLNE-RW MONGONS</v>
          </cell>
          <cell r="C62">
            <v>0</v>
          </cell>
        </row>
        <row r="63">
          <cell r="A63" t="str">
            <v>TM62</v>
          </cell>
          <cell r="B63" t="str">
            <v>TM62-TAEBENU PE</v>
          </cell>
          <cell r="C63">
            <v>0</v>
          </cell>
        </row>
        <row r="64">
          <cell r="A64" t="str">
            <v>TNY2</v>
          </cell>
          <cell r="B64" t="str">
            <v xml:space="preserve">TNY2-ALFONSIUS </v>
          </cell>
          <cell r="C64">
            <v>5</v>
          </cell>
        </row>
        <row r="65">
          <cell r="A65" t="str">
            <v>TO70</v>
          </cell>
          <cell r="B65" t="str">
            <v>TO70-LANUDAL PE</v>
          </cell>
          <cell r="C65">
            <v>0</v>
          </cell>
        </row>
        <row r="66">
          <cell r="A66" t="str">
            <v>TOQF</v>
          </cell>
          <cell r="B66" t="str">
            <v>TOQF-TIMOR RAYA</v>
          </cell>
          <cell r="C66">
            <v>6</v>
          </cell>
        </row>
        <row r="67">
          <cell r="A67" t="str">
            <v>TPAU</v>
          </cell>
          <cell r="B67" t="str">
            <v>TPAU-WJ LALAMEN</v>
          </cell>
          <cell r="C67">
            <v>2</v>
          </cell>
        </row>
        <row r="68">
          <cell r="A68" t="str">
            <v>TQ2Z</v>
          </cell>
          <cell r="B68" t="str">
            <v xml:space="preserve">TQ2Z-TAKARI    </v>
          </cell>
          <cell r="C68">
            <v>16</v>
          </cell>
        </row>
        <row r="69">
          <cell r="A69" t="str">
            <v>TQ6C</v>
          </cell>
          <cell r="B69" t="str">
            <v>TQ6C-KASIMO BEI</v>
          </cell>
          <cell r="C69">
            <v>17</v>
          </cell>
        </row>
        <row r="70">
          <cell r="A70" t="str">
            <v>TQTM</v>
          </cell>
          <cell r="B70" t="str">
            <v>TQTM-SOEHARTO N</v>
          </cell>
          <cell r="C70">
            <v>0</v>
          </cell>
        </row>
        <row r="71">
          <cell r="A71" t="str">
            <v>TQUO</v>
          </cell>
          <cell r="B71" t="str">
            <v>TQUO-WJ LALAMEN</v>
          </cell>
          <cell r="C71">
            <v>0</v>
          </cell>
        </row>
        <row r="72">
          <cell r="A72" t="str">
            <v>TS7P</v>
          </cell>
          <cell r="B72" t="str">
            <v>TS7P-PAHLAWAN N</v>
          </cell>
          <cell r="C72">
            <v>4</v>
          </cell>
        </row>
        <row r="73">
          <cell r="A73" t="str">
            <v>TSUV</v>
          </cell>
          <cell r="B73" t="str">
            <v xml:space="preserve">TSUV-AINIBA    </v>
          </cell>
          <cell r="C73">
            <v>1</v>
          </cell>
        </row>
        <row r="74">
          <cell r="A74" t="str">
            <v>TT1V</v>
          </cell>
          <cell r="B74" t="str">
            <v>TT1V-TR NOELBAK</v>
          </cell>
          <cell r="C74">
            <v>6</v>
          </cell>
        </row>
        <row r="75">
          <cell r="A75" t="str">
            <v>TTED</v>
          </cell>
          <cell r="B75" t="str">
            <v xml:space="preserve">TTED-HEREWILA  </v>
          </cell>
          <cell r="C75">
            <v>0</v>
          </cell>
        </row>
        <row r="76">
          <cell r="A76" t="str">
            <v>TTZQ</v>
          </cell>
          <cell r="B76" t="str">
            <v>TTZQ-PIET A TAL</v>
          </cell>
          <cell r="C76">
            <v>0</v>
          </cell>
        </row>
        <row r="77">
          <cell r="A77" t="str">
            <v>TUI0</v>
          </cell>
          <cell r="B77" t="str">
            <v>TUI0-I. J. KASI</v>
          </cell>
          <cell r="C77">
            <v>0</v>
          </cell>
        </row>
        <row r="78">
          <cell r="A78" t="str">
            <v>TUWA</v>
          </cell>
          <cell r="B78" t="str">
            <v>TUWA-TIMOR RAYA</v>
          </cell>
          <cell r="C78">
            <v>0</v>
          </cell>
        </row>
        <row r="79">
          <cell r="A79" t="str">
            <v>TV0M</v>
          </cell>
          <cell r="B79" t="str">
            <v xml:space="preserve">TV0M-HM. YAMIN </v>
          </cell>
          <cell r="C79">
            <v>0</v>
          </cell>
        </row>
        <row r="80">
          <cell r="A80" t="str">
            <v>TV2H</v>
          </cell>
          <cell r="B80" t="str">
            <v>TV2H-KARTINI KE</v>
          </cell>
          <cell r="C80">
            <v>0</v>
          </cell>
        </row>
        <row r="81">
          <cell r="A81" t="str">
            <v>TVB9</v>
          </cell>
          <cell r="B81" t="str">
            <v>TVB9-DIPONEGORO</v>
          </cell>
          <cell r="C81">
            <v>0</v>
          </cell>
        </row>
        <row r="82">
          <cell r="A82" t="str">
            <v>TVJX</v>
          </cell>
          <cell r="B82" t="str">
            <v>TVJX-WJ LALAMEN</v>
          </cell>
          <cell r="C82">
            <v>0</v>
          </cell>
        </row>
        <row r="83">
          <cell r="A83" t="str">
            <v>TWZJ</v>
          </cell>
          <cell r="B83" t="str">
            <v>TWZJ-TIMOR RAYA</v>
          </cell>
          <cell r="C83">
            <v>0</v>
          </cell>
        </row>
        <row r="84">
          <cell r="A84" t="str">
            <v>TY7M</v>
          </cell>
          <cell r="B84" t="str">
            <v>TY7M-ADI SUCIPT</v>
          </cell>
          <cell r="C84">
            <v>0</v>
          </cell>
        </row>
        <row r="85">
          <cell r="A85" t="str">
            <v>TYP0</v>
          </cell>
          <cell r="B85" t="str">
            <v xml:space="preserve">TYP0-ELTARI KM </v>
          </cell>
          <cell r="C85">
            <v>3</v>
          </cell>
        </row>
        <row r="86">
          <cell r="A86" t="str">
            <v>TYWS</v>
          </cell>
          <cell r="B86" t="str">
            <v>TYWS-MERDEKA AT</v>
          </cell>
          <cell r="C86">
            <v>1</v>
          </cell>
        </row>
        <row r="87">
          <cell r="A87" t="str">
            <v>TZM4</v>
          </cell>
          <cell r="B87" t="str">
            <v>TZM4-FETOR FUNA</v>
          </cell>
          <cell r="C87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showGridLines="0" topLeftCell="A32" zoomScale="93" zoomScaleNormal="93" workbookViewId="0">
      <selection activeCell="G44" sqref="G44"/>
    </sheetView>
  </sheetViews>
  <sheetFormatPr defaultColWidth="8.7109375" defaultRowHeight="15"/>
  <cols>
    <col min="1" max="1" width="14.140625" customWidth="1"/>
    <col min="2" max="2" width="17" customWidth="1"/>
    <col min="3" max="6" width="12.5703125" customWidth="1"/>
    <col min="7" max="7" width="14.5703125" customWidth="1"/>
    <col min="8" max="8" width="14.42578125" customWidth="1"/>
    <col min="9" max="9" width="11.5703125" customWidth="1"/>
    <col min="10" max="10" width="11.85546875" customWidth="1"/>
  </cols>
  <sheetData>
    <row r="1" spans="1:15">
      <c r="B1" s="6" t="s">
        <v>0</v>
      </c>
      <c r="C1" s="7">
        <f>COUNTIFS(TOKO!$C:$C,'AM &amp; AS'!$A:$A,TOKO!$F:$F,'AM &amp; AS'!$B:$B)</f>
        <v>0</v>
      </c>
      <c r="D1" s="7">
        <f>COUNTIFS(TOKO!$C:$C,'AM &amp; AS'!$A:$A,TOKO!$F:$F,'AM &amp; AS'!$B:$B,TOKO!$K:$K,"=0")</f>
        <v>0</v>
      </c>
      <c r="E1" s="7">
        <f>COUNTIFS(TOKO!$C:$C,'AM &amp; AS'!$A:$A,TOKO!$F:$F,'AM &amp; AS'!$B:$B,TOKO!$K:$K,"&gt;0")</f>
        <v>0</v>
      </c>
      <c r="F1" s="7">
        <f>COUNTIFS(TOKO!$C:$C,'AM &amp; AS'!$A:$A,TOKO!$F:$F,'AM &amp; AS'!$B:$B,TOKO!$L:$L,"&lt;100")</f>
        <v>0</v>
      </c>
      <c r="G1" s="7">
        <f>SUMIFS(TOKO!$I:$I,TOKO!$C:$C,'AM &amp; AS'!$A:$A,TOKO!$F:$F,'AM &amp; AS'!$B:$B)</f>
        <v>0</v>
      </c>
      <c r="H1" s="7">
        <f>SUMIFS(TOKO!$J:$J,TOKO!$C:$C,'AM &amp; AS'!$A:$A,TOKO!$F:$F,'AM &amp; AS'!$B:$B)</f>
        <v>0</v>
      </c>
      <c r="I1" s="7">
        <f>SUMIFS(TOKO!$K:$K,TOKO!$C:$C,'AM &amp; AS'!$A:$A,TOKO!$F:$F,'AM &amp; AS'!$B:$B)</f>
        <v>0</v>
      </c>
      <c r="J1" s="16" t="e">
        <f>I1/G1*100</f>
        <v>#DIV/0!</v>
      </c>
    </row>
    <row r="3" spans="1:15">
      <c r="A3" s="8" t="s">
        <v>1</v>
      </c>
    </row>
    <row r="4" spans="1:15">
      <c r="A4" s="8" t="s">
        <v>2</v>
      </c>
      <c r="L4" t="s">
        <v>3</v>
      </c>
    </row>
    <row r="5" spans="1:15">
      <c r="A5" s="8" t="s">
        <v>4</v>
      </c>
      <c r="L5" t="s">
        <v>5</v>
      </c>
    </row>
    <row r="6" spans="1:15" ht="39" customHeight="1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2</v>
      </c>
      <c r="J6" s="9" t="s">
        <v>14</v>
      </c>
      <c r="L6" s="23" t="s">
        <v>15</v>
      </c>
      <c r="M6" s="24"/>
      <c r="N6" s="24"/>
      <c r="O6" s="24"/>
    </row>
    <row r="7" spans="1:15">
      <c r="A7" s="7" t="s">
        <v>16</v>
      </c>
      <c r="B7" s="2" t="s">
        <v>220</v>
      </c>
      <c r="C7" s="7">
        <f>COUNTIFS(TOKO!$C:$C,'AM &amp; AS'!$A:$A,TOKO!$F:$F,'AM &amp; AS'!$B:$B)</f>
        <v>0</v>
      </c>
      <c r="D7" s="7">
        <f>COUNTIFS(TOKO!$C:$C,'AM &amp; AS'!$A:$A,TOKO!$F:$F,'AM &amp; AS'!$B:$B,TOKO!$K:$K,"=0")</f>
        <v>0</v>
      </c>
      <c r="E7" s="7">
        <f>COUNTIFS(TOKO!$C:$C,'AM &amp; AS'!$A:$A,TOKO!$F:$F,'AM &amp; AS'!$B:$B,TOKO!$K:$K,"&gt;0")</f>
        <v>0</v>
      </c>
      <c r="F7" s="7">
        <f>COUNTIFS(TOKO!$C:$C,'AM &amp; AS'!$A:$A,TOKO!$F:$F,'AM &amp; AS'!$B:$B,TOKO!$L:$L,"&lt;100")</f>
        <v>0</v>
      </c>
      <c r="G7" s="7">
        <f>SUMIFS(TOKO!$I:$I,TOKO!$C:$C,'AM &amp; AS'!$A:$A,TOKO!$F:$F,'AM &amp; AS'!$B:$B)</f>
        <v>0</v>
      </c>
      <c r="H7" s="7">
        <f>SUMIFS(TOKO!$J:$J,TOKO!$C:$C,'AM &amp; AS'!$A:$A,TOKO!$F:$F,'AM &amp; AS'!$B:$B)</f>
        <v>0</v>
      </c>
      <c r="I7" s="7">
        <f>SUMIFS(TOKO!$K:$K,TOKO!$C:$C,'AM &amp; AS'!$A:$A,TOKO!$F:$F,'AM &amp; AS'!$B:$B)</f>
        <v>0</v>
      </c>
      <c r="J7" s="16" t="e">
        <f t="shared" ref="J7:J27" si="0">I7/G7*100</f>
        <v>#DIV/0!</v>
      </c>
    </row>
    <row r="8" spans="1:15">
      <c r="A8" s="7" t="s">
        <v>17</v>
      </c>
      <c r="B8" s="2" t="s">
        <v>220</v>
      </c>
      <c r="C8" s="7">
        <f>COUNTIFS(TOKO!$C:$C,'AM &amp; AS'!$A:$A,TOKO!$F:$F,'AM &amp; AS'!$B:$B)</f>
        <v>0</v>
      </c>
      <c r="D8" s="7">
        <f>COUNTIFS(TOKO!$C:$C,'AM &amp; AS'!$A:$A,TOKO!$F:$F,'AM &amp; AS'!$B:$B,TOKO!$K:$K,"=0")</f>
        <v>0</v>
      </c>
      <c r="E8" s="7">
        <f>COUNTIFS(TOKO!$C:$C,'AM &amp; AS'!$A:$A,TOKO!$F:$F,'AM &amp; AS'!$B:$B,TOKO!$K:$K,"&gt;0")</f>
        <v>0</v>
      </c>
      <c r="F8" s="7">
        <f>COUNTIFS(TOKO!$C:$C,'AM &amp; AS'!$A:$A,TOKO!$F:$F,'AM &amp; AS'!$B:$B,TOKO!$L:$L,"&lt;100")</f>
        <v>0</v>
      </c>
      <c r="G8" s="7">
        <f>SUMIFS(TOKO!$I:$I,TOKO!$C:$C,'AM &amp; AS'!$A:$A,TOKO!$F:$F,'AM &amp; AS'!$B:$B)</f>
        <v>0</v>
      </c>
      <c r="H8" s="7">
        <f>SUMIFS(TOKO!$J:$J,TOKO!$C:$C,'AM &amp; AS'!$A:$A,TOKO!$F:$F,'AM &amp; AS'!$B:$B)</f>
        <v>0</v>
      </c>
      <c r="I8" s="7">
        <f>SUMIFS(TOKO!$K:$K,TOKO!$C:$C,'AM &amp; AS'!$A:$A,TOKO!$F:$F,'AM &amp; AS'!$B:$B)</f>
        <v>0</v>
      </c>
      <c r="J8" s="16" t="e">
        <f t="shared" si="0"/>
        <v>#DIV/0!</v>
      </c>
    </row>
    <row r="9" spans="1:15">
      <c r="A9" s="7" t="s">
        <v>18</v>
      </c>
      <c r="B9" s="2" t="s">
        <v>220</v>
      </c>
      <c r="C9" s="7">
        <f>COUNTIFS(TOKO!$C:$C,'AM &amp; AS'!$A:$A,TOKO!$F:$F,'AM &amp; AS'!$B:$B)</f>
        <v>0</v>
      </c>
      <c r="D9" s="7">
        <f>COUNTIFS(TOKO!$C:$C,'AM &amp; AS'!$A:$A,TOKO!$F:$F,'AM &amp; AS'!$B:$B,TOKO!$K:$K,"=0")</f>
        <v>0</v>
      </c>
      <c r="E9" s="7">
        <f>COUNTIFS(TOKO!$C:$C,'AM &amp; AS'!$A:$A,TOKO!$F:$F,'AM &amp; AS'!$B:$B,TOKO!$K:$K,"&gt;0")</f>
        <v>0</v>
      </c>
      <c r="F9" s="7">
        <f>COUNTIFS(TOKO!$C:$C,'AM &amp; AS'!$A:$A,TOKO!$F:$F,'AM &amp; AS'!$B:$B,TOKO!$L:$L,"&lt;100")</f>
        <v>0</v>
      </c>
      <c r="G9" s="7">
        <f>SUMIFS(TOKO!$I:$I,TOKO!$C:$C,'AM &amp; AS'!$A:$A,TOKO!$F:$F,'AM &amp; AS'!$B:$B)</f>
        <v>0</v>
      </c>
      <c r="H9" s="7">
        <f>SUMIFS(TOKO!$J:$J,TOKO!$C:$C,'AM &amp; AS'!$A:$A,TOKO!$F:$F,'AM &amp; AS'!$B:$B)</f>
        <v>0</v>
      </c>
      <c r="I9" s="7">
        <f>SUMIFS(TOKO!$K:$K,TOKO!$C:$C,'AM &amp; AS'!$A:$A,TOKO!$F:$F,'AM &amp; AS'!$B:$B)</f>
        <v>0</v>
      </c>
      <c r="J9" s="16" t="e">
        <f t="shared" si="0"/>
        <v>#DIV/0!</v>
      </c>
    </row>
    <row r="10" spans="1:15">
      <c r="A10" s="7" t="s">
        <v>19</v>
      </c>
      <c r="B10" s="2" t="s">
        <v>220</v>
      </c>
      <c r="C10" s="7">
        <f>COUNTIFS(TOKO!$C:$C,'AM &amp; AS'!$A:$A,TOKO!$F:$F,'AM &amp; AS'!$B:$B)</f>
        <v>41</v>
      </c>
      <c r="D10" s="7">
        <f>COUNTIFS(TOKO!$C:$C,'AM &amp; AS'!$A:$A,TOKO!$F:$F,'AM &amp; AS'!$B:$B,TOKO!$K:$K,"=0")</f>
        <v>0</v>
      </c>
      <c r="E10" s="7">
        <f>COUNTIFS(TOKO!$C:$C,'AM &amp; AS'!$A:$A,TOKO!$F:$F,'AM &amp; AS'!$B:$B,TOKO!$K:$K,"&gt;0")</f>
        <v>0</v>
      </c>
      <c r="F10" s="7">
        <f>COUNTIFS(TOKO!$C:$C,'AM &amp; AS'!$A:$A,TOKO!$F:$F,'AM &amp; AS'!$B:$B,TOKO!$L:$L,"&lt;100")</f>
        <v>0</v>
      </c>
      <c r="G10" s="7">
        <f>SUMIFS(TOKO!$I:$I,TOKO!$C:$C,'AM &amp; AS'!$A:$A,TOKO!$F:$F,'AM &amp; AS'!$B:$B)</f>
        <v>1137.0250806451613</v>
      </c>
      <c r="H10" s="7">
        <f>SUMIFS(TOKO!$J:$J,TOKO!$C:$C,'AM &amp; AS'!$A:$A,TOKO!$F:$F,'AM &amp; AS'!$B:$B)</f>
        <v>0</v>
      </c>
      <c r="I10" s="7">
        <f>SUMIFS(TOKO!$K:$K,TOKO!$C:$C,'AM &amp; AS'!$A:$A,TOKO!$F:$F,'AM &amp; AS'!$B:$B)</f>
        <v>0</v>
      </c>
      <c r="J10" s="16">
        <f t="shared" si="0"/>
        <v>0</v>
      </c>
    </row>
    <row r="11" spans="1:15">
      <c r="A11" s="7" t="s">
        <v>20</v>
      </c>
      <c r="B11" s="2" t="s">
        <v>220</v>
      </c>
      <c r="C11" s="7">
        <f>COUNTIFS(TOKO!$C:$C,'AM &amp; AS'!$A:$A,TOKO!$F:$F,'AM &amp; AS'!$B:$B)</f>
        <v>0</v>
      </c>
      <c r="D11" s="7">
        <f>COUNTIFS(TOKO!$C:$C,'AM &amp; AS'!$A:$A,TOKO!$F:$F,'AM &amp; AS'!$B:$B,TOKO!$K:$K,"=0")</f>
        <v>0</v>
      </c>
      <c r="E11" s="7">
        <f>COUNTIFS(TOKO!$C:$C,'AM &amp; AS'!$A:$A,TOKO!$F:$F,'AM &amp; AS'!$B:$B,TOKO!$K:$K,"&gt;0")</f>
        <v>0</v>
      </c>
      <c r="F11" s="7">
        <f>COUNTIFS(TOKO!$C:$C,'AM &amp; AS'!$A:$A,TOKO!$F:$F,'AM &amp; AS'!$B:$B,TOKO!$L:$L,"&lt;100")</f>
        <v>0</v>
      </c>
      <c r="G11" s="7">
        <f>SUMIFS(TOKO!$I:$I,TOKO!$C:$C,'AM &amp; AS'!$A:$A,TOKO!$F:$F,'AM &amp; AS'!$B:$B)</f>
        <v>0</v>
      </c>
      <c r="H11" s="7">
        <f>SUMIFS(TOKO!$J:$J,TOKO!$C:$C,'AM &amp; AS'!$A:$A,TOKO!$F:$F,'AM &amp; AS'!$B:$B)</f>
        <v>0</v>
      </c>
      <c r="I11" s="7">
        <f>SUMIFS(TOKO!$K:$K,TOKO!$C:$C,'AM &amp; AS'!$A:$A,TOKO!$F:$F,'AM &amp; AS'!$B:$B)</f>
        <v>0</v>
      </c>
      <c r="J11" s="16" t="e">
        <f t="shared" si="0"/>
        <v>#DIV/0!</v>
      </c>
    </row>
    <row r="12" spans="1:15">
      <c r="A12" s="7" t="s">
        <v>21</v>
      </c>
      <c r="B12" s="2" t="s">
        <v>220</v>
      </c>
      <c r="C12" s="7">
        <f>COUNTIFS(TOKO!$C:$C,'AM &amp; AS'!$A:$A,TOKO!$F:$F,'AM &amp; AS'!$B:$B)</f>
        <v>44</v>
      </c>
      <c r="D12" s="7">
        <f>COUNTIFS(TOKO!$C:$C,'AM &amp; AS'!$A:$A,TOKO!$F:$F,'AM &amp; AS'!$B:$B,TOKO!$K:$K,"=0")</f>
        <v>0</v>
      </c>
      <c r="E12" s="7">
        <f>COUNTIFS(TOKO!$C:$C,'AM &amp; AS'!$A:$A,TOKO!$F:$F,'AM &amp; AS'!$B:$B,TOKO!$K:$K,"&gt;0")</f>
        <v>0</v>
      </c>
      <c r="F12" s="7">
        <f>COUNTIFS(TOKO!$C:$C,'AM &amp; AS'!$A:$A,TOKO!$F:$F,'AM &amp; AS'!$B:$B,TOKO!$L:$L,"&lt;100")</f>
        <v>0</v>
      </c>
      <c r="G12" s="7">
        <f>SUMIFS(TOKO!$I:$I,TOKO!$C:$C,'AM &amp; AS'!$A:$A,TOKO!$F:$F,'AM &amp; AS'!$B:$B)</f>
        <v>681.60291935483872</v>
      </c>
      <c r="H12" s="7">
        <f>SUMIFS(TOKO!$J:$J,TOKO!$C:$C,'AM &amp; AS'!$A:$A,TOKO!$F:$F,'AM &amp; AS'!$B:$B)</f>
        <v>0</v>
      </c>
      <c r="I12" s="7">
        <f>SUMIFS(TOKO!$K:$K,TOKO!$C:$C,'AM &amp; AS'!$A:$A,TOKO!$F:$F,'AM &amp; AS'!$B:$B)</f>
        <v>0</v>
      </c>
      <c r="J12" s="16">
        <f t="shared" si="0"/>
        <v>0</v>
      </c>
    </row>
    <row r="13" spans="1:15">
      <c r="A13" s="7" t="s">
        <v>22</v>
      </c>
      <c r="B13" s="2" t="s">
        <v>220</v>
      </c>
      <c r="C13" s="7">
        <f>COUNTIFS(TOKO!$C:$C,'AM &amp; AS'!$A:$A,TOKO!$F:$F,'AM &amp; AS'!$B:$B)</f>
        <v>0</v>
      </c>
      <c r="D13" s="7">
        <f>COUNTIFS(TOKO!$C:$C,'AM &amp; AS'!$A:$A,TOKO!$F:$F,'AM &amp; AS'!$B:$B,TOKO!$K:$K,"=0")</f>
        <v>0</v>
      </c>
      <c r="E13" s="7">
        <f>COUNTIFS(TOKO!$C:$C,'AM &amp; AS'!$A:$A,TOKO!$F:$F,'AM &amp; AS'!$B:$B,TOKO!$K:$K,"&gt;0")</f>
        <v>0</v>
      </c>
      <c r="F13" s="7">
        <f>COUNTIFS(TOKO!$C:$C,'AM &amp; AS'!$A:$A,TOKO!$F:$F,'AM &amp; AS'!$B:$B,TOKO!$L:$L,"&lt;100")</f>
        <v>0</v>
      </c>
      <c r="G13" s="7">
        <f>SUMIFS(TOKO!$I:$I,TOKO!$C:$C,'AM &amp; AS'!$A:$A,TOKO!$F:$F,'AM &amp; AS'!$B:$B)</f>
        <v>0</v>
      </c>
      <c r="H13" s="7">
        <f>SUMIFS(TOKO!$J:$J,TOKO!$C:$C,'AM &amp; AS'!$A:$A,TOKO!$F:$F,'AM &amp; AS'!$B:$B)</f>
        <v>0</v>
      </c>
      <c r="I13" s="7">
        <f>SUMIFS(TOKO!$K:$K,TOKO!$C:$C,'AM &amp; AS'!$A:$A,TOKO!$F:$F,'AM &amp; AS'!$B:$B)</f>
        <v>0</v>
      </c>
      <c r="J13" s="16" t="e">
        <f t="shared" si="0"/>
        <v>#DIV/0!</v>
      </c>
    </row>
    <row r="14" spans="1:15">
      <c r="A14" s="7" t="s">
        <v>23</v>
      </c>
      <c r="B14" s="2" t="s">
        <v>220</v>
      </c>
      <c r="C14" s="7">
        <f>COUNTIFS(TOKO!$C:$C,'AM &amp; AS'!$A:$A,TOKO!$F:$F,'AM &amp; AS'!$B:$B)</f>
        <v>0</v>
      </c>
      <c r="D14" s="7">
        <f>COUNTIFS(TOKO!$C:$C,'AM &amp; AS'!$A:$A,TOKO!$F:$F,'AM &amp; AS'!$B:$B,TOKO!$K:$K,"=0")</f>
        <v>0</v>
      </c>
      <c r="E14" s="7">
        <f>COUNTIFS(TOKO!$C:$C,'AM &amp; AS'!$A:$A,TOKO!$F:$F,'AM &amp; AS'!$B:$B,TOKO!$K:$K,"&gt;0")</f>
        <v>0</v>
      </c>
      <c r="F14" s="7">
        <f>COUNTIFS(TOKO!$C:$C,'AM &amp; AS'!$A:$A,TOKO!$F:$F,'AM &amp; AS'!$B:$B,TOKO!$L:$L,"&lt;100")</f>
        <v>0</v>
      </c>
      <c r="G14" s="7">
        <f>SUMIFS(TOKO!$I:$I,TOKO!$C:$C,'AM &amp; AS'!$A:$A,TOKO!$F:$F,'AM &amp; AS'!$B:$B)</f>
        <v>0</v>
      </c>
      <c r="H14" s="7">
        <f>SUMIFS(TOKO!$J:$J,TOKO!$C:$C,'AM &amp; AS'!$A:$A,TOKO!$F:$F,'AM &amp; AS'!$B:$B)</f>
        <v>0</v>
      </c>
      <c r="I14" s="7">
        <f>SUMIFS(TOKO!$K:$K,TOKO!$C:$C,'AM &amp; AS'!$A:$A,TOKO!$F:$F,'AM &amp; AS'!$B:$B)</f>
        <v>0</v>
      </c>
      <c r="J14" s="16" t="e">
        <f t="shared" si="0"/>
        <v>#DIV/0!</v>
      </c>
    </row>
    <row r="15" spans="1:15">
      <c r="A15" s="7" t="s">
        <v>24</v>
      </c>
      <c r="B15" s="2" t="s">
        <v>220</v>
      </c>
      <c r="C15" s="7">
        <f>COUNTIFS(TOKO!$C:$C,'AM &amp; AS'!$A:$A,TOKO!$F:$F,'AM &amp; AS'!$B:$B)</f>
        <v>0</v>
      </c>
      <c r="D15" s="7">
        <f>COUNTIFS(TOKO!$C:$C,'AM &amp; AS'!$A:$A,TOKO!$F:$F,'AM &amp; AS'!$B:$B,TOKO!$K:$K,"=0")</f>
        <v>0</v>
      </c>
      <c r="E15" s="7">
        <f>COUNTIFS(TOKO!$C:$C,'AM &amp; AS'!$A:$A,TOKO!$F:$F,'AM &amp; AS'!$B:$B,TOKO!$K:$K,"&gt;0")</f>
        <v>0</v>
      </c>
      <c r="F15" s="7">
        <f>COUNTIFS(TOKO!$C:$C,'AM &amp; AS'!$A:$A,TOKO!$F:$F,'AM &amp; AS'!$B:$B,TOKO!$L:$L,"&lt;100")</f>
        <v>0</v>
      </c>
      <c r="G15" s="7">
        <f>SUMIFS(TOKO!$I:$I,TOKO!$C:$C,'AM &amp; AS'!$A:$A,TOKO!$F:$F,'AM &amp; AS'!$B:$B)</f>
        <v>0</v>
      </c>
      <c r="H15" s="7">
        <f>SUMIFS(TOKO!$J:$J,TOKO!$C:$C,'AM &amp; AS'!$A:$A,TOKO!$F:$F,'AM &amp; AS'!$B:$B)</f>
        <v>0</v>
      </c>
      <c r="I15" s="7">
        <f>SUMIFS(TOKO!$K:$K,TOKO!$C:$C,'AM &amp; AS'!$A:$A,TOKO!$F:$F,'AM &amp; AS'!$B:$B)</f>
        <v>0</v>
      </c>
      <c r="J15" s="16" t="e">
        <f t="shared" si="0"/>
        <v>#DIV/0!</v>
      </c>
    </row>
    <row r="16" spans="1:15">
      <c r="A16" s="7" t="s">
        <v>25</v>
      </c>
      <c r="B16" s="2" t="s">
        <v>220</v>
      </c>
      <c r="C16" s="7">
        <f>COUNTIFS(TOKO!$C:$C,'AM &amp; AS'!$A:$A,TOKO!$F:$F,'AM &amp; AS'!$B:$B)</f>
        <v>0</v>
      </c>
      <c r="D16" s="7">
        <f>COUNTIFS(TOKO!$C:$C,'AM &amp; AS'!$A:$A,TOKO!$F:$F,'AM &amp; AS'!$B:$B,TOKO!$K:$K,"=0")</f>
        <v>0</v>
      </c>
      <c r="E16" s="7">
        <f>COUNTIFS(TOKO!$C:$C,'AM &amp; AS'!$A:$A,TOKO!$F:$F,'AM &amp; AS'!$B:$B,TOKO!$K:$K,"&gt;0")</f>
        <v>0</v>
      </c>
      <c r="F16" s="7">
        <f>COUNTIFS(TOKO!$C:$C,'AM &amp; AS'!$A:$A,TOKO!$F:$F,'AM &amp; AS'!$B:$B,TOKO!$L:$L,"&lt;100")</f>
        <v>0</v>
      </c>
      <c r="G16" s="7">
        <f>SUMIFS(TOKO!$I:$I,TOKO!$C:$C,'AM &amp; AS'!$A:$A,TOKO!$F:$F,'AM &amp; AS'!$B:$B)</f>
        <v>0</v>
      </c>
      <c r="H16" s="7">
        <f>SUMIFS(TOKO!$J:$J,TOKO!$C:$C,'AM &amp; AS'!$A:$A,TOKO!$F:$F,'AM &amp; AS'!$B:$B)</f>
        <v>0</v>
      </c>
      <c r="I16" s="7">
        <f>SUMIFS(TOKO!$K:$K,TOKO!$C:$C,'AM &amp; AS'!$A:$A,TOKO!$F:$F,'AM &amp; AS'!$B:$B)</f>
        <v>0</v>
      </c>
      <c r="J16" s="16" t="e">
        <f t="shared" si="0"/>
        <v>#DIV/0!</v>
      </c>
    </row>
    <row r="17" spans="1:12">
      <c r="A17" s="7" t="s">
        <v>16</v>
      </c>
      <c r="B17" s="2" t="s">
        <v>26</v>
      </c>
      <c r="C17" s="7">
        <f>COUNTIFS(TOKO!$C:$C,'AM &amp; AS'!$A:$A,TOKO!$F:$F,'AM &amp; AS'!$B:$B)</f>
        <v>0</v>
      </c>
      <c r="D17" s="7">
        <f>COUNTIFS(TOKO!$C:$C,'AM &amp; AS'!$A:$A,TOKO!$F:$F,'AM &amp; AS'!$B:$B,TOKO!$K:$K,"=0")</f>
        <v>0</v>
      </c>
      <c r="E17" s="7">
        <f>COUNTIFS(TOKO!$C:$C,'AM &amp; AS'!$A:$A,TOKO!$F:$F,'AM &amp; AS'!$B:$B,TOKO!$K:$K,"&gt;0")</f>
        <v>0</v>
      </c>
      <c r="F17" s="7">
        <f>COUNTIFS(TOKO!$C:$C,'AM &amp; AS'!$A:$A,TOKO!$F:$F,'AM &amp; AS'!$B:$B,TOKO!$L:$L,"&lt;100")</f>
        <v>0</v>
      </c>
      <c r="G17" s="7">
        <f>SUMIFS(TOKO!$I:$I,TOKO!$C:$C,'AM &amp; AS'!$A:$A,TOKO!$F:$F,'AM &amp; AS'!$B:$B)</f>
        <v>0</v>
      </c>
      <c r="H17" s="7">
        <f>SUMIFS(TOKO!$J:$J,TOKO!$C:$C,'AM &amp; AS'!$A:$A,TOKO!$F:$F,'AM &amp; AS'!$B:$B)</f>
        <v>0</v>
      </c>
      <c r="I17" s="7">
        <f>SUMIFS(TOKO!$K:$K,TOKO!$C:$C,'AM &amp; AS'!$A:$A,TOKO!$F:$F,'AM &amp; AS'!$B:$B)</f>
        <v>0</v>
      </c>
      <c r="J17" s="16" t="e">
        <f t="shared" si="0"/>
        <v>#DIV/0!</v>
      </c>
    </row>
    <row r="18" spans="1:12">
      <c r="A18" s="7" t="s">
        <v>17</v>
      </c>
      <c r="B18" s="2" t="s">
        <v>26</v>
      </c>
      <c r="C18" s="7">
        <f>COUNTIFS(TOKO!$C:$C,'AM &amp; AS'!$A:$A,TOKO!$F:$F,'AM &amp; AS'!$B:$B)</f>
        <v>0</v>
      </c>
      <c r="D18" s="7">
        <f>COUNTIFS(TOKO!$C:$C,'AM &amp; AS'!$A:$A,TOKO!$F:$F,'AM &amp; AS'!$B:$B,TOKO!$K:$K,"=0")</f>
        <v>0</v>
      </c>
      <c r="E18" s="7">
        <f>COUNTIFS(TOKO!$C:$C,'AM &amp; AS'!$A:$A,TOKO!$F:$F,'AM &amp; AS'!$B:$B,TOKO!$K:$K,"&gt;0")</f>
        <v>0</v>
      </c>
      <c r="F18" s="7">
        <f>COUNTIFS(TOKO!$C:$C,'AM &amp; AS'!$A:$A,TOKO!$F:$F,'AM &amp; AS'!$B:$B,TOKO!$L:$L,"&lt;100")</f>
        <v>0</v>
      </c>
      <c r="G18" s="7">
        <f>SUMIFS(TOKO!$I:$I,TOKO!$C:$C,'AM &amp; AS'!$A:$A,TOKO!$F:$F,'AM &amp; AS'!$B:$B)</f>
        <v>0</v>
      </c>
      <c r="H18" s="7">
        <f>SUMIFS(TOKO!$J:$J,TOKO!$C:$C,'AM &amp; AS'!$A:$A,TOKO!$F:$F,'AM &amp; AS'!$B:$B)</f>
        <v>0</v>
      </c>
      <c r="I18" s="7">
        <f>SUMIFS(TOKO!$K:$K,TOKO!$C:$C,'AM &amp; AS'!$A:$A,TOKO!$F:$F,'AM &amp; AS'!$B:$B)</f>
        <v>0</v>
      </c>
      <c r="J18" s="16" t="e">
        <f t="shared" si="0"/>
        <v>#DIV/0!</v>
      </c>
    </row>
    <row r="19" spans="1:12">
      <c r="A19" s="7" t="s">
        <v>18</v>
      </c>
      <c r="B19" s="2" t="s">
        <v>26</v>
      </c>
      <c r="C19" s="7">
        <f>COUNTIFS(TOKO!$C:$C,'AM &amp; AS'!$A:$A,TOKO!$F:$F,'AM &amp; AS'!$B:$B)</f>
        <v>0</v>
      </c>
      <c r="D19" s="7">
        <f>COUNTIFS(TOKO!$C:$C,'AM &amp; AS'!$A:$A,TOKO!$F:$F,'AM &amp; AS'!$B:$B,TOKO!$K:$K,"=0")</f>
        <v>0</v>
      </c>
      <c r="E19" s="7">
        <f>COUNTIFS(TOKO!$C:$C,'AM &amp; AS'!$A:$A,TOKO!$F:$F,'AM &amp; AS'!$B:$B,TOKO!$K:$K,"&gt;0")</f>
        <v>0</v>
      </c>
      <c r="F19" s="7">
        <f>COUNTIFS(TOKO!$C:$C,'AM &amp; AS'!$A:$A,TOKO!$F:$F,'AM &amp; AS'!$B:$B,TOKO!$L:$L,"&lt;100")</f>
        <v>0</v>
      </c>
      <c r="G19" s="7">
        <f>SUMIFS(TOKO!$I:$I,TOKO!$C:$C,'AM &amp; AS'!$A:$A,TOKO!$F:$F,'AM &amp; AS'!$B:$B)</f>
        <v>0</v>
      </c>
      <c r="H19" s="7">
        <f>SUMIFS(TOKO!$J:$J,TOKO!$C:$C,'AM &amp; AS'!$A:$A,TOKO!$F:$F,'AM &amp; AS'!$B:$B)</f>
        <v>0</v>
      </c>
      <c r="I19" s="7">
        <f>SUMIFS(TOKO!$K:$K,TOKO!$C:$C,'AM &amp; AS'!$A:$A,TOKO!$F:$F,'AM &amp; AS'!$B:$B)</f>
        <v>0</v>
      </c>
      <c r="J19" s="16" t="e">
        <f t="shared" si="0"/>
        <v>#DIV/0!</v>
      </c>
    </row>
    <row r="20" spans="1:12">
      <c r="A20" s="7" t="s">
        <v>19</v>
      </c>
      <c r="B20" s="2" t="s">
        <v>26</v>
      </c>
      <c r="C20" s="7">
        <f>COUNTIFS(TOKO!$C:$C,'AM &amp; AS'!$A:$A,TOKO!$F:$F,'AM &amp; AS'!$B:$B)</f>
        <v>34</v>
      </c>
      <c r="D20" s="7">
        <f>COUNTIFS(TOKO!$C:$C,'AM &amp; AS'!$A:$A,TOKO!$F:$F,'AM &amp; AS'!$B:$B,TOKO!$K:$K,"=0")</f>
        <v>11</v>
      </c>
      <c r="E20" s="7">
        <f>COUNTIFS(TOKO!$C:$C,'AM &amp; AS'!$A:$A,TOKO!$F:$F,'AM &amp; AS'!$B:$B,TOKO!$K:$K,"&gt;0")</f>
        <v>23</v>
      </c>
      <c r="F20" s="7">
        <f>COUNTIFS(TOKO!$C:$C,'AM &amp; AS'!$A:$A,TOKO!$F:$F,'AM &amp; AS'!$B:$B,TOKO!$L:$L,"&lt;100")</f>
        <v>34</v>
      </c>
      <c r="G20" s="7">
        <f>SUMIFS(TOKO!$I:$I,TOKO!$C:$C,'AM &amp; AS'!$A:$A,TOKO!$F:$F,'AM &amp; AS'!$B:$B)</f>
        <v>2466.3870967741918</v>
      </c>
      <c r="H20" s="7">
        <f>SUMIFS(TOKO!$J:$J,TOKO!$C:$C,'AM &amp; AS'!$A:$A,TOKO!$F:$F,'AM &amp; AS'!$B:$B)</f>
        <v>0</v>
      </c>
      <c r="I20" s="7">
        <f>SUMIFS(TOKO!$K:$K,TOKO!$C:$C,'AM &amp; AS'!$A:$A,TOKO!$F:$F,'AM &amp; AS'!$B:$B)</f>
        <v>107</v>
      </c>
      <c r="J20" s="16">
        <f t="shared" si="0"/>
        <v>4.3383295404012694</v>
      </c>
    </row>
    <row r="21" spans="1:12">
      <c r="A21" s="7" t="s">
        <v>20</v>
      </c>
      <c r="B21" s="2" t="s">
        <v>26</v>
      </c>
      <c r="C21" s="7">
        <f>COUNTIFS(TOKO!$C:$C,'AM &amp; AS'!$A:$A,TOKO!$F:$F,'AM &amp; AS'!$B:$B)</f>
        <v>0</v>
      </c>
      <c r="D21" s="7">
        <f>COUNTIFS(TOKO!$C:$C,'AM &amp; AS'!$A:$A,TOKO!$F:$F,'AM &amp; AS'!$B:$B,TOKO!$K:$K,"=0")</f>
        <v>0</v>
      </c>
      <c r="E21" s="7">
        <f>COUNTIFS(TOKO!$C:$C,'AM &amp; AS'!$A:$A,TOKO!$F:$F,'AM &amp; AS'!$B:$B,TOKO!$K:$K,"&gt;0")</f>
        <v>0</v>
      </c>
      <c r="F21" s="7">
        <f>COUNTIFS(TOKO!$C:$C,'AM &amp; AS'!$A:$A,TOKO!$F:$F,'AM &amp; AS'!$B:$B,TOKO!$L:$L,"&lt;100")</f>
        <v>0</v>
      </c>
      <c r="G21" s="7">
        <f>SUMIFS(TOKO!$I:$I,TOKO!$C:$C,'AM &amp; AS'!$A:$A,TOKO!$F:$F,'AM &amp; AS'!$B:$B)</f>
        <v>0</v>
      </c>
      <c r="H21" s="7">
        <f>SUMIFS(TOKO!$J:$J,TOKO!$C:$C,'AM &amp; AS'!$A:$A,TOKO!$F:$F,'AM &amp; AS'!$B:$B)</f>
        <v>0</v>
      </c>
      <c r="I21" s="7">
        <f>SUMIFS(TOKO!$K:$K,TOKO!$C:$C,'AM &amp; AS'!$A:$A,TOKO!$F:$F,'AM &amp; AS'!$B:$B)</f>
        <v>0</v>
      </c>
      <c r="J21" s="16" t="e">
        <f t="shared" si="0"/>
        <v>#DIV/0!</v>
      </c>
    </row>
    <row r="22" spans="1:12">
      <c r="A22" s="7" t="s">
        <v>21</v>
      </c>
      <c r="B22" s="2" t="s">
        <v>26</v>
      </c>
      <c r="C22" s="7">
        <f>COUNTIFS(TOKO!$C:$C,'AM &amp; AS'!$A:$A,TOKO!$F:$F,'AM &amp; AS'!$B:$B)</f>
        <v>37</v>
      </c>
      <c r="D22" s="7">
        <f>COUNTIFS(TOKO!$C:$C,'AM &amp; AS'!$A:$A,TOKO!$F:$F,'AM &amp; AS'!$B:$B,TOKO!$K:$K,"=0")</f>
        <v>17</v>
      </c>
      <c r="E22" s="7">
        <f>COUNTIFS(TOKO!$C:$C,'AM &amp; AS'!$A:$A,TOKO!$F:$F,'AM &amp; AS'!$B:$B,TOKO!$K:$K,"&gt;0")</f>
        <v>20</v>
      </c>
      <c r="F22" s="7">
        <f>COUNTIFS(TOKO!$C:$C,'AM &amp; AS'!$A:$A,TOKO!$F:$F,'AM &amp; AS'!$B:$B,TOKO!$L:$L,"&lt;100")</f>
        <v>37</v>
      </c>
      <c r="G22" s="7">
        <f>SUMIFS(TOKO!$I:$I,TOKO!$C:$C,'AM &amp; AS'!$A:$A,TOKO!$F:$F,'AM &amp; AS'!$B:$B)</f>
        <v>1447.0645161290317</v>
      </c>
      <c r="H22" s="7">
        <f>SUMIFS(TOKO!$J:$J,TOKO!$C:$C,'AM &amp; AS'!$A:$A,TOKO!$F:$F,'AM &amp; AS'!$B:$B)</f>
        <v>0</v>
      </c>
      <c r="I22" s="7">
        <f>SUMIFS(TOKO!$K:$K,TOKO!$C:$C,'AM &amp; AS'!$A:$A,TOKO!$F:$F,'AM &amp; AS'!$B:$B)</f>
        <v>98</v>
      </c>
      <c r="J22" s="16">
        <f t="shared" si="0"/>
        <v>6.7723310818341949</v>
      </c>
    </row>
    <row r="23" spans="1:12">
      <c r="A23" s="7" t="s">
        <v>22</v>
      </c>
      <c r="B23" s="2" t="s">
        <v>26</v>
      </c>
      <c r="C23" s="7">
        <f>COUNTIFS(TOKO!$C:$C,'AM &amp; AS'!$A:$A,TOKO!$F:$F,'AM &amp; AS'!$B:$B)</f>
        <v>0</v>
      </c>
      <c r="D23" s="7">
        <f>COUNTIFS(TOKO!$C:$C,'AM &amp; AS'!$A:$A,TOKO!$F:$F,'AM &amp; AS'!$B:$B,TOKO!$K:$K,"=0")</f>
        <v>0</v>
      </c>
      <c r="E23" s="7">
        <f>COUNTIFS(TOKO!$C:$C,'AM &amp; AS'!$A:$A,TOKO!$F:$F,'AM &amp; AS'!$B:$B,TOKO!$K:$K,"&gt;0")</f>
        <v>0</v>
      </c>
      <c r="F23" s="7">
        <f>COUNTIFS(TOKO!$C:$C,'AM &amp; AS'!$A:$A,TOKO!$F:$F,'AM &amp; AS'!$B:$B,TOKO!$L:$L,"&lt;100")</f>
        <v>0</v>
      </c>
      <c r="G23" s="7">
        <f>SUMIFS(TOKO!$I:$I,TOKO!$C:$C,'AM &amp; AS'!$A:$A,TOKO!$F:$F,'AM &amp; AS'!$B:$B)</f>
        <v>0</v>
      </c>
      <c r="H23" s="7">
        <f>SUMIFS(TOKO!$J:$J,TOKO!$C:$C,'AM &amp; AS'!$A:$A,TOKO!$F:$F,'AM &amp; AS'!$B:$B)</f>
        <v>0</v>
      </c>
      <c r="I23" s="7">
        <f>SUMIFS(TOKO!$K:$K,TOKO!$C:$C,'AM &amp; AS'!$A:$A,TOKO!$F:$F,'AM &amp; AS'!$B:$B)</f>
        <v>0</v>
      </c>
      <c r="J23" s="16" t="e">
        <f t="shared" si="0"/>
        <v>#DIV/0!</v>
      </c>
    </row>
    <row r="24" spans="1:12">
      <c r="A24" s="7" t="s">
        <v>23</v>
      </c>
      <c r="B24" s="2" t="s">
        <v>26</v>
      </c>
      <c r="C24" s="7">
        <f>COUNTIFS(TOKO!$C:$C,'AM &amp; AS'!$A:$A,TOKO!$F:$F,'AM &amp; AS'!$B:$B)</f>
        <v>0</v>
      </c>
      <c r="D24" s="7">
        <f>COUNTIFS(TOKO!$C:$C,'AM &amp; AS'!$A:$A,TOKO!$F:$F,'AM &amp; AS'!$B:$B,TOKO!$K:$K,"=0")</f>
        <v>0</v>
      </c>
      <c r="E24" s="7">
        <f>COUNTIFS(TOKO!$C:$C,'AM &amp; AS'!$A:$A,TOKO!$F:$F,'AM &amp; AS'!$B:$B,TOKO!$K:$K,"&gt;0")</f>
        <v>0</v>
      </c>
      <c r="F24" s="7">
        <f>COUNTIFS(TOKO!$C:$C,'AM &amp; AS'!$A:$A,TOKO!$F:$F,'AM &amp; AS'!$B:$B,TOKO!$L:$L,"&lt;100")</f>
        <v>0</v>
      </c>
      <c r="G24" s="7">
        <f>SUMIFS(TOKO!$I:$I,TOKO!$C:$C,'AM &amp; AS'!$A:$A,TOKO!$F:$F,'AM &amp; AS'!$B:$B)</f>
        <v>0</v>
      </c>
      <c r="H24" s="7">
        <f>SUMIFS(TOKO!$J:$J,TOKO!$C:$C,'AM &amp; AS'!$A:$A,TOKO!$F:$F,'AM &amp; AS'!$B:$B)</f>
        <v>0</v>
      </c>
      <c r="I24" s="7">
        <f>SUMIFS(TOKO!$K:$K,TOKO!$C:$C,'AM &amp; AS'!$A:$A,TOKO!$F:$F,'AM &amp; AS'!$B:$B)</f>
        <v>0</v>
      </c>
      <c r="J24" s="16" t="e">
        <f t="shared" si="0"/>
        <v>#DIV/0!</v>
      </c>
    </row>
    <row r="25" spans="1:12">
      <c r="A25" s="7" t="s">
        <v>24</v>
      </c>
      <c r="B25" s="2" t="s">
        <v>26</v>
      </c>
      <c r="C25" s="7">
        <f>COUNTIFS(TOKO!$C:$C,'AM &amp; AS'!$A:$A,TOKO!$F:$F,'AM &amp; AS'!$B:$B)</f>
        <v>0</v>
      </c>
      <c r="D25" s="7">
        <f>COUNTIFS(TOKO!$C:$C,'AM &amp; AS'!$A:$A,TOKO!$F:$F,'AM &amp; AS'!$B:$B,TOKO!$K:$K,"=0")</f>
        <v>0</v>
      </c>
      <c r="E25" s="7">
        <f>COUNTIFS(TOKO!$C:$C,'AM &amp; AS'!$A:$A,TOKO!$F:$F,'AM &amp; AS'!$B:$B,TOKO!$K:$K,"&gt;0")</f>
        <v>0</v>
      </c>
      <c r="F25" s="7">
        <f>COUNTIFS(TOKO!$C:$C,'AM &amp; AS'!$A:$A,TOKO!$F:$F,'AM &amp; AS'!$B:$B,TOKO!$L:$L,"&lt;100")</f>
        <v>0</v>
      </c>
      <c r="G25" s="7">
        <f>SUMIFS(TOKO!$I:$I,TOKO!$C:$C,'AM &amp; AS'!$A:$A,TOKO!$F:$F,'AM &amp; AS'!$B:$B)</f>
        <v>0</v>
      </c>
      <c r="H25" s="7">
        <f>SUMIFS(TOKO!$J:$J,TOKO!$C:$C,'AM &amp; AS'!$A:$A,TOKO!$F:$F,'AM &amp; AS'!$B:$B)</f>
        <v>0</v>
      </c>
      <c r="I25" s="7">
        <f>SUMIFS(TOKO!$K:$K,TOKO!$C:$C,'AM &amp; AS'!$A:$A,TOKO!$F:$F,'AM &amp; AS'!$B:$B)</f>
        <v>0</v>
      </c>
      <c r="J25" s="16" t="e">
        <f t="shared" si="0"/>
        <v>#DIV/0!</v>
      </c>
    </row>
    <row r="26" spans="1:12">
      <c r="A26" s="7" t="s">
        <v>25</v>
      </c>
      <c r="B26" s="2" t="s">
        <v>26</v>
      </c>
      <c r="C26" s="7">
        <f>COUNTIFS(TOKO!$C:$C,'AM &amp; AS'!$A:$A,TOKO!$F:$F,'AM &amp; AS'!$B:$B)</f>
        <v>0</v>
      </c>
      <c r="D26" s="7">
        <f>COUNTIFS(TOKO!$C:$C,'AM &amp; AS'!$A:$A,TOKO!$F:$F,'AM &amp; AS'!$B:$B,TOKO!$K:$K,"=0")</f>
        <v>0</v>
      </c>
      <c r="E26" s="7">
        <f>COUNTIFS(TOKO!$C:$C,'AM &amp; AS'!$A:$A,TOKO!$F:$F,'AM &amp; AS'!$B:$B,TOKO!$K:$K,"&gt;0")</f>
        <v>0</v>
      </c>
      <c r="F26" s="7">
        <f>COUNTIFS(TOKO!$C:$C,'AM &amp; AS'!$A:$A,TOKO!$F:$F,'AM &amp; AS'!$B:$B,TOKO!$L:$L,"&lt;100")</f>
        <v>0</v>
      </c>
      <c r="G26" s="7">
        <f>SUMIFS(TOKO!$I:$I,TOKO!$C:$C,'AM &amp; AS'!$A:$A,TOKO!$F:$F,'AM &amp; AS'!$B:$B)</f>
        <v>0</v>
      </c>
      <c r="H26" s="7">
        <f>SUMIFS(TOKO!$J:$J,TOKO!$C:$C,'AM &amp; AS'!$A:$A,TOKO!$F:$F,'AM &amp; AS'!$B:$B)</f>
        <v>0</v>
      </c>
      <c r="I26" s="7">
        <f>SUMIFS(TOKO!$K:$K,TOKO!$C:$C,'AM &amp; AS'!$A:$A,TOKO!$F:$F,'AM &amp; AS'!$B:$B)</f>
        <v>0</v>
      </c>
      <c r="J26" s="16" t="e">
        <f t="shared" si="0"/>
        <v>#DIV/0!</v>
      </c>
    </row>
    <row r="27" spans="1:12">
      <c r="A27" s="10" t="s">
        <v>27</v>
      </c>
      <c r="B27" s="10"/>
      <c r="C27" s="10">
        <f t="shared" ref="C27:I27" si="1">SUM(C7:C26)</f>
        <v>156</v>
      </c>
      <c r="D27" s="10">
        <f t="shared" si="1"/>
        <v>28</v>
      </c>
      <c r="E27" s="10">
        <f t="shared" si="1"/>
        <v>43</v>
      </c>
      <c r="F27" s="10">
        <f t="shared" si="1"/>
        <v>71</v>
      </c>
      <c r="G27" s="10">
        <f t="shared" si="1"/>
        <v>5732.0796129032242</v>
      </c>
      <c r="H27" s="10">
        <f t="shared" si="1"/>
        <v>0</v>
      </c>
      <c r="I27" s="10">
        <f t="shared" si="1"/>
        <v>205</v>
      </c>
      <c r="J27" s="17">
        <f t="shared" si="0"/>
        <v>3.5763634464973904</v>
      </c>
    </row>
    <row r="29" spans="1:12">
      <c r="B29" s="6" t="s">
        <v>0</v>
      </c>
      <c r="C29" s="7">
        <f>COUNTIFS(TOKO!$D:$D,'AM &amp; AS'!$A:$A,TOKO!$F:$F,'AM &amp; AS'!$B:$B)</f>
        <v>0</v>
      </c>
      <c r="D29" s="7">
        <f>COUNTIFS(TOKO!$D:$D,'AM &amp; AS'!$A:$A,TOKO!$F:$F,'AM &amp; AS'!$B:$B,TOKO!$K:$K,"=0")</f>
        <v>0</v>
      </c>
      <c r="E29" s="7">
        <f>COUNTIFS(TOKO!$D:$D,'AM &amp; AS'!$A:$A,TOKO!$F:$F,'AM &amp; AS'!$B:$B,TOKO!$K:$K,"&gt;0")</f>
        <v>0</v>
      </c>
      <c r="F29" s="7">
        <f>COUNTIFS(TOKO!$D:$D,'AM &amp; AS'!$A:$A,TOKO!$F:$F,'AM &amp; AS'!$B:$B,TOKO!$L:$L,"&lt;100")</f>
        <v>0</v>
      </c>
      <c r="G29" s="7">
        <f>SUMIFS(TOKO!$I:$I,TOKO!$D:$D,'AM &amp; AS'!$A:$A,TOKO!$F:$F,'AM &amp; AS'!$B:$B)</f>
        <v>0</v>
      </c>
      <c r="H29" s="7">
        <f>SUMIFS(TOKO!$J:$J,TOKO!$D:$D,'AM &amp; AS'!$A:$A,TOKO!$F:$F,'AM &amp; AS'!$B:$B)</f>
        <v>0</v>
      </c>
      <c r="I29" s="7">
        <f>SUMIFS(TOKO!$K:$K,TOKO!$D:$D,'AM &amp; AS'!$A:$A,TOKO!$F:$F,'AM &amp; AS'!$B:$B)</f>
        <v>0</v>
      </c>
      <c r="J29" s="16" t="e">
        <f>I29/G29*100</f>
        <v>#DIV/0!</v>
      </c>
    </row>
    <row r="30" spans="1:12">
      <c r="B30" s="11"/>
      <c r="C30" s="12"/>
      <c r="D30" s="12"/>
      <c r="E30" s="12"/>
      <c r="F30" s="12"/>
      <c r="G30" s="12"/>
      <c r="H30" s="12"/>
      <c r="I30" s="12"/>
      <c r="J30" s="18"/>
    </row>
    <row r="31" spans="1:12">
      <c r="A31" t="str">
        <f>A3</f>
        <v>REPORT PENCAPAIAN ICE CREAM &amp; TELUR</v>
      </c>
      <c r="B31" s="11"/>
      <c r="C31" s="12"/>
      <c r="D31" s="12"/>
      <c r="E31" s="12"/>
      <c r="F31" s="12"/>
      <c r="G31" s="12"/>
      <c r="H31" s="12"/>
      <c r="I31" s="12"/>
      <c r="J31" s="18"/>
    </row>
    <row r="32" spans="1:12">
      <c r="A32" t="str">
        <f>A4</f>
        <v>REALTIME</v>
      </c>
      <c r="B32" s="11"/>
      <c r="C32" s="12"/>
      <c r="D32" s="12"/>
      <c r="E32" s="12"/>
      <c r="F32" s="12"/>
      <c r="G32" s="12"/>
      <c r="H32" s="12"/>
      <c r="I32" s="12"/>
      <c r="J32" s="18"/>
      <c r="L32" t="s">
        <v>3</v>
      </c>
    </row>
    <row r="33" spans="1:15">
      <c r="A33" t="str">
        <f>A5</f>
        <v>CAB JEMBER</v>
      </c>
      <c r="L33" t="s">
        <v>5</v>
      </c>
    </row>
    <row r="34" spans="1:15" ht="42.75" customHeight="1">
      <c r="A34" s="9" t="s">
        <v>6</v>
      </c>
      <c r="B34" s="9" t="s">
        <v>7</v>
      </c>
      <c r="C34" s="9" t="s">
        <v>8</v>
      </c>
      <c r="D34" s="9" t="s">
        <v>9</v>
      </c>
      <c r="E34" s="9" t="s">
        <v>10</v>
      </c>
      <c r="F34" s="9" t="s">
        <v>11</v>
      </c>
      <c r="G34" s="9" t="s">
        <v>12</v>
      </c>
      <c r="H34" s="9" t="s">
        <v>13</v>
      </c>
      <c r="I34" s="9" t="s">
        <v>2</v>
      </c>
      <c r="J34" s="9" t="s">
        <v>14</v>
      </c>
      <c r="L34" s="23" t="s">
        <v>15</v>
      </c>
      <c r="M34" s="24"/>
      <c r="N34" s="24"/>
      <c r="O34" s="24"/>
    </row>
    <row r="35" spans="1:15">
      <c r="A35" s="13" t="s">
        <v>28</v>
      </c>
      <c r="B35" s="2" t="s">
        <v>26</v>
      </c>
      <c r="C35" s="7">
        <f>COUNTIFS(TOKO!$D:$D,'AM &amp; AS'!$A:$A,TOKO!$F:$F,'AM &amp; AS'!$B:$B)</f>
        <v>9</v>
      </c>
      <c r="D35" s="7">
        <f>COUNTIFS(TOKO!$D:$D,'AM &amp; AS'!$A:$A,TOKO!$F:$F,'AM &amp; AS'!$B:$B,TOKO!$K:$K,"=0")</f>
        <v>5</v>
      </c>
      <c r="E35" s="7">
        <f>COUNTIFS(TOKO!$D:$D,'AM &amp; AS'!$A:$A,TOKO!$F:$F,'AM &amp; AS'!$B:$B,TOKO!$K:$K,"&gt;0")</f>
        <v>4</v>
      </c>
      <c r="F35" s="7">
        <f>COUNTIFS(TOKO!$D:$D,'AM &amp; AS'!$A:$A,TOKO!$F:$F,'AM &amp; AS'!$B:$B,TOKO!$L:$L,"&lt;100")</f>
        <v>9</v>
      </c>
      <c r="G35" s="7">
        <f>SUMIFS(TOKO!$I:$I,TOKO!$D:$D,'AM &amp; AS'!$A:$A,TOKO!$F:$F,'AM &amp; AS'!$B:$B)</f>
        <v>411.19354838709637</v>
      </c>
      <c r="H35" s="7">
        <f>SUMIFS(TOKO!$J:$J,TOKO!$D:$D,'AM &amp; AS'!$A:$A,TOKO!$F:$F,'AM &amp; AS'!$B:$B)</f>
        <v>0</v>
      </c>
      <c r="I35" s="7">
        <f>SUMIFS(TOKO!$K:$K,TOKO!$D:$D,'AM &amp; AS'!$A:$A,TOKO!$F:$F,'AM &amp; AS'!$B:$B)</f>
        <v>23</v>
      </c>
      <c r="J35" s="16">
        <f t="shared" ref="J35:J49" si="2">I35/G35*100</f>
        <v>5.5934729740331113</v>
      </c>
    </row>
    <row r="36" spans="1:15">
      <c r="A36" s="13" t="s">
        <v>28</v>
      </c>
      <c r="B36" s="2" t="s">
        <v>220</v>
      </c>
      <c r="C36" s="7">
        <f>COUNTIFS(TOKO!$D:$D,'AM &amp; AS'!$A:$A,TOKO!$F:$F,'AM &amp; AS'!$B:$B)</f>
        <v>11</v>
      </c>
      <c r="D36" s="7">
        <f>COUNTIFS(TOKO!$D:$D,'AM &amp; AS'!$A:$A,TOKO!$F:$F,'AM &amp; AS'!$B:$B,TOKO!$K:$K,"=0")</f>
        <v>0</v>
      </c>
      <c r="E36" s="7">
        <f>COUNTIFS(TOKO!$D:$D,'AM &amp; AS'!$A:$A,TOKO!$F:$F,'AM &amp; AS'!$B:$B,TOKO!$K:$K,"&gt;0")</f>
        <v>0</v>
      </c>
      <c r="F36" s="7">
        <f>COUNTIFS(TOKO!$D:$D,'AM &amp; AS'!$A:$A,TOKO!$F:$F,'AM &amp; AS'!$B:$B,TOKO!$L:$L,"&lt;100")</f>
        <v>0</v>
      </c>
      <c r="G36" s="7">
        <f>SUMIFS(TOKO!$I:$I,TOKO!$D:$D,'AM &amp; AS'!$A:$A,TOKO!$F:$F,'AM &amp; AS'!$B:$B)</f>
        <v>188.61382258064523</v>
      </c>
      <c r="H36" s="7">
        <f>SUMIFS(TOKO!$J:$J,TOKO!$D:$D,'AM &amp; AS'!$A:$A,TOKO!$F:$F,'AM &amp; AS'!$B:$B)</f>
        <v>0</v>
      </c>
      <c r="I36" s="7">
        <f>SUMIFS(TOKO!$K:$K,TOKO!$D:$D,'AM &amp; AS'!$A:$A,TOKO!$F:$F,'AM &amp; AS'!$B:$B)</f>
        <v>0</v>
      </c>
      <c r="J36" s="16">
        <f t="shared" si="2"/>
        <v>0</v>
      </c>
    </row>
    <row r="37" spans="1:15">
      <c r="A37" s="13" t="s">
        <v>29</v>
      </c>
      <c r="B37" s="2" t="s">
        <v>26</v>
      </c>
      <c r="C37" s="7">
        <f>COUNTIFS(TOKO!$D:$D,'AM &amp; AS'!$A:$A,TOKO!$F:$F,'AM &amp; AS'!$B:$B)</f>
        <v>8</v>
      </c>
      <c r="D37" s="7">
        <f>COUNTIFS(TOKO!$D:$D,'AM &amp; AS'!$A:$A,TOKO!$F:$F,'AM &amp; AS'!$B:$B,TOKO!$K:$K,"=0")</f>
        <v>3</v>
      </c>
      <c r="E37" s="7">
        <f>COUNTIFS(TOKO!$D:$D,'AM &amp; AS'!$A:$A,TOKO!$F:$F,'AM &amp; AS'!$B:$B,TOKO!$K:$K,"&gt;0")</f>
        <v>5</v>
      </c>
      <c r="F37" s="7">
        <f>COUNTIFS(TOKO!$D:$D,'AM &amp; AS'!$A:$A,TOKO!$F:$F,'AM &amp; AS'!$B:$B,TOKO!$L:$L,"&lt;100")</f>
        <v>8</v>
      </c>
      <c r="G37" s="7">
        <f>SUMIFS(TOKO!$I:$I,TOKO!$D:$D,'AM &amp; AS'!$A:$A,TOKO!$F:$F,'AM &amp; AS'!$B:$B)</f>
        <v>327.96774193548373</v>
      </c>
      <c r="H37" s="7">
        <f>SUMIFS(TOKO!$J:$J,TOKO!$D:$D,'AM &amp; AS'!$A:$A,TOKO!$F:$F,'AM &amp; AS'!$B:$B)</f>
        <v>0</v>
      </c>
      <c r="I37" s="7">
        <f>SUMIFS(TOKO!$K:$K,TOKO!$D:$D,'AM &amp; AS'!$A:$A,TOKO!$F:$F,'AM &amp; AS'!$B:$B)</f>
        <v>16</v>
      </c>
      <c r="J37" s="16">
        <f t="shared" si="2"/>
        <v>4.8785285728336802</v>
      </c>
    </row>
    <row r="38" spans="1:15">
      <c r="A38" s="13" t="s">
        <v>29</v>
      </c>
      <c r="B38" s="2" t="s">
        <v>220</v>
      </c>
      <c r="C38" s="7">
        <f>COUNTIFS(TOKO!$D:$D,'AM &amp; AS'!$A:$A,TOKO!$F:$F,'AM &amp; AS'!$B:$B)</f>
        <v>12</v>
      </c>
      <c r="D38" s="7">
        <f>COUNTIFS(TOKO!$D:$D,'AM &amp; AS'!$A:$A,TOKO!$F:$F,'AM &amp; AS'!$B:$B,TOKO!$K:$K,"=0")</f>
        <v>0</v>
      </c>
      <c r="E38" s="7">
        <f>COUNTIFS(TOKO!$D:$D,'AM &amp; AS'!$A:$A,TOKO!$F:$F,'AM &amp; AS'!$B:$B,TOKO!$K:$K,"&gt;0")</f>
        <v>0</v>
      </c>
      <c r="F38" s="7">
        <f>COUNTIFS(TOKO!$D:$D,'AM &amp; AS'!$A:$A,TOKO!$F:$F,'AM &amp; AS'!$B:$B,TOKO!$L:$L,"&lt;100")</f>
        <v>0</v>
      </c>
      <c r="G38" s="7">
        <f>SUMIFS(TOKO!$I:$I,TOKO!$D:$D,'AM &amp; AS'!$A:$A,TOKO!$F:$F,'AM &amp; AS'!$B:$B)</f>
        <v>148.13245967741935</v>
      </c>
      <c r="H38" s="7">
        <f>SUMIFS(TOKO!$J:$J,TOKO!$D:$D,'AM &amp; AS'!$A:$A,TOKO!$F:$F,'AM &amp; AS'!$B:$B)</f>
        <v>0</v>
      </c>
      <c r="I38" s="7">
        <f>SUMIFS(TOKO!$K:$K,TOKO!$D:$D,'AM &amp; AS'!$A:$A,TOKO!$F:$F,'AM &amp; AS'!$B:$B)</f>
        <v>0</v>
      </c>
      <c r="J38" s="16">
        <f t="shared" si="2"/>
        <v>0</v>
      </c>
    </row>
    <row r="39" spans="1:15">
      <c r="A39" s="13" t="s">
        <v>30</v>
      </c>
      <c r="B39" s="2" t="s">
        <v>26</v>
      </c>
      <c r="C39" s="7">
        <f>COUNTIFS(TOKO!$D:$D,'AM &amp; AS'!$A:$A,TOKO!$F:$F,'AM &amp; AS'!$B:$B)</f>
        <v>11</v>
      </c>
      <c r="D39" s="7">
        <f>COUNTIFS(TOKO!$D:$D,'AM &amp; AS'!$A:$A,TOKO!$F:$F,'AM &amp; AS'!$B:$B,TOKO!$K:$K,"=0")</f>
        <v>6</v>
      </c>
      <c r="E39" s="7">
        <f>COUNTIFS(TOKO!$D:$D,'AM &amp; AS'!$A:$A,TOKO!$F:$F,'AM &amp; AS'!$B:$B,TOKO!$K:$K,"&gt;0")</f>
        <v>5</v>
      </c>
      <c r="F39" s="7">
        <f>COUNTIFS(TOKO!$D:$D,'AM &amp; AS'!$A:$A,TOKO!$F:$F,'AM &amp; AS'!$B:$B,TOKO!$L:$L,"&lt;100")</f>
        <v>11</v>
      </c>
      <c r="G39" s="7">
        <f>SUMIFS(TOKO!$I:$I,TOKO!$D:$D,'AM &amp; AS'!$A:$A,TOKO!$F:$F,'AM &amp; AS'!$B:$B)</f>
        <v>346.74193548387075</v>
      </c>
      <c r="H39" s="7">
        <f>SUMIFS(TOKO!$J:$J,TOKO!$D:$D,'AM &amp; AS'!$A:$A,TOKO!$F:$F,'AM &amp; AS'!$B:$B)</f>
        <v>0</v>
      </c>
      <c r="I39" s="7">
        <f>SUMIFS(TOKO!$K:$K,TOKO!$D:$D,'AM &amp; AS'!$A:$A,TOKO!$F:$F,'AM &amp; AS'!$B:$B)</f>
        <v>21</v>
      </c>
      <c r="J39" s="16">
        <f t="shared" si="2"/>
        <v>6.0563773374267411</v>
      </c>
    </row>
    <row r="40" spans="1:15">
      <c r="A40" s="13" t="s">
        <v>30</v>
      </c>
      <c r="B40" s="2" t="s">
        <v>220</v>
      </c>
      <c r="C40" s="7">
        <f>COUNTIFS(TOKO!$D:$D,'AM &amp; AS'!$A:$A,TOKO!$F:$F,'AM &amp; AS'!$B:$B)</f>
        <v>12</v>
      </c>
      <c r="D40" s="7">
        <f>COUNTIFS(TOKO!$D:$D,'AM &amp; AS'!$A:$A,TOKO!$F:$F,'AM &amp; AS'!$B:$B,TOKO!$K:$K,"=0")</f>
        <v>0</v>
      </c>
      <c r="E40" s="7">
        <f>COUNTIFS(TOKO!$D:$D,'AM &amp; AS'!$A:$A,TOKO!$F:$F,'AM &amp; AS'!$B:$B,TOKO!$K:$K,"&gt;0")</f>
        <v>0</v>
      </c>
      <c r="F40" s="7">
        <f>COUNTIFS(TOKO!$D:$D,'AM &amp; AS'!$A:$A,TOKO!$F:$F,'AM &amp; AS'!$B:$B,TOKO!$L:$L,"&lt;100")</f>
        <v>0</v>
      </c>
      <c r="G40" s="7">
        <f>SUMIFS(TOKO!$I:$I,TOKO!$D:$D,'AM &amp; AS'!$A:$A,TOKO!$F:$F,'AM &amp; AS'!$B:$B)</f>
        <v>186.30665322580637</v>
      </c>
      <c r="H40" s="7">
        <f>SUMIFS(TOKO!$J:$J,TOKO!$D:$D,'AM &amp; AS'!$A:$A,TOKO!$F:$F,'AM &amp; AS'!$B:$B)</f>
        <v>0</v>
      </c>
      <c r="I40" s="7">
        <f>SUMIFS(TOKO!$K:$K,TOKO!$D:$D,'AM &amp; AS'!$A:$A,TOKO!$F:$F,'AM &amp; AS'!$B:$B)</f>
        <v>0</v>
      </c>
      <c r="J40" s="16">
        <f t="shared" si="2"/>
        <v>0</v>
      </c>
    </row>
    <row r="41" spans="1:15">
      <c r="A41" s="13" t="s">
        <v>31</v>
      </c>
      <c r="B41" s="2" t="s">
        <v>26</v>
      </c>
      <c r="C41" s="7">
        <f>COUNTIFS(TOKO!$D:$D,'AM &amp; AS'!$A:$A,TOKO!$F:$F,'AM &amp; AS'!$B:$B)</f>
        <v>9</v>
      </c>
      <c r="D41" s="7">
        <f>COUNTIFS(TOKO!$D:$D,'AM &amp; AS'!$A:$A,TOKO!$F:$F,'AM &amp; AS'!$B:$B,TOKO!$K:$K,"=0")</f>
        <v>3</v>
      </c>
      <c r="E41" s="7">
        <f>COUNTIFS(TOKO!$D:$D,'AM &amp; AS'!$A:$A,TOKO!$F:$F,'AM &amp; AS'!$B:$B,TOKO!$K:$K,"&gt;0")</f>
        <v>6</v>
      </c>
      <c r="F41" s="7">
        <f>COUNTIFS(TOKO!$D:$D,'AM &amp; AS'!$A:$A,TOKO!$F:$F,'AM &amp; AS'!$B:$B,TOKO!$L:$L,"&lt;100")</f>
        <v>9</v>
      </c>
      <c r="G41" s="7">
        <f>SUMIFS(TOKO!$I:$I,TOKO!$D:$D,'AM &amp; AS'!$A:$A,TOKO!$F:$F,'AM &amp; AS'!$B:$B)</f>
        <v>361.16129032258078</v>
      </c>
      <c r="H41" s="7">
        <f>SUMIFS(TOKO!$J:$J,TOKO!$D:$D,'AM &amp; AS'!$A:$A,TOKO!$F:$F,'AM &amp; AS'!$B:$B)</f>
        <v>0</v>
      </c>
      <c r="I41" s="7">
        <f>SUMIFS(TOKO!$K:$K,TOKO!$D:$D,'AM &amp; AS'!$A:$A,TOKO!$F:$F,'AM &amp; AS'!$B:$B)</f>
        <v>38</v>
      </c>
      <c r="J41" s="16">
        <f t="shared" si="2"/>
        <v>10.521614862450871</v>
      </c>
    </row>
    <row r="42" spans="1:15">
      <c r="A42" s="13" t="s">
        <v>31</v>
      </c>
      <c r="B42" s="2" t="s">
        <v>220</v>
      </c>
      <c r="C42" s="7">
        <f>COUNTIFS(TOKO!$D:$D,'AM &amp; AS'!$A:$A,TOKO!$F:$F,'AM &amp; AS'!$B:$B)</f>
        <v>9</v>
      </c>
      <c r="D42" s="7">
        <f>COUNTIFS(TOKO!$D:$D,'AM &amp; AS'!$A:$A,TOKO!$F:$F,'AM &amp; AS'!$B:$B,TOKO!$K:$K,"=0")</f>
        <v>0</v>
      </c>
      <c r="E42" s="7">
        <f>COUNTIFS(TOKO!$D:$D,'AM &amp; AS'!$A:$A,TOKO!$F:$F,'AM &amp; AS'!$B:$B,TOKO!$K:$K,"&gt;0")</f>
        <v>0</v>
      </c>
      <c r="F42" s="7">
        <f>COUNTIFS(TOKO!$D:$D,'AM &amp; AS'!$A:$A,TOKO!$F:$F,'AM &amp; AS'!$B:$B,TOKO!$L:$L,"&lt;100")</f>
        <v>0</v>
      </c>
      <c r="G42" s="7">
        <f>SUMIFS(TOKO!$I:$I,TOKO!$D:$D,'AM &amp; AS'!$A:$A,TOKO!$F:$F,'AM &amp; AS'!$B:$B)</f>
        <v>158.54998387096771</v>
      </c>
      <c r="H42" s="7">
        <f>SUMIFS(TOKO!$J:$J,TOKO!$D:$D,'AM &amp; AS'!$A:$A,TOKO!$F:$F,'AM &amp; AS'!$B:$B)</f>
        <v>0</v>
      </c>
      <c r="I42" s="7">
        <f>SUMIFS(TOKO!$K:$K,TOKO!$D:$D,'AM &amp; AS'!$A:$A,TOKO!$F:$F,'AM &amp; AS'!$B:$B)</f>
        <v>0</v>
      </c>
      <c r="J42" s="16">
        <f t="shared" si="2"/>
        <v>0</v>
      </c>
    </row>
    <row r="43" spans="1:15">
      <c r="A43" s="14" t="s">
        <v>32</v>
      </c>
      <c r="B43" s="2" t="s">
        <v>26</v>
      </c>
      <c r="C43" s="7">
        <f>COUNTIFS(TOKO!$D:$D,'AM &amp; AS'!$A:$A,TOKO!$F:$F,'AM &amp; AS'!$B:$B)</f>
        <v>6</v>
      </c>
      <c r="D43" s="7">
        <f>COUNTIFS(TOKO!$D:$D,'AM &amp; AS'!$A:$A,TOKO!$F:$F,'AM &amp; AS'!$B:$B,TOKO!$K:$K,"=0")</f>
        <v>3</v>
      </c>
      <c r="E43" s="7">
        <f>COUNTIFS(TOKO!$D:$D,'AM &amp; AS'!$A:$A,TOKO!$F:$F,'AM &amp; AS'!$B:$B,TOKO!$K:$K,"&gt;0")</f>
        <v>3</v>
      </c>
      <c r="F43" s="7">
        <f>COUNTIFS(TOKO!$D:$D,'AM &amp; AS'!$A:$A,TOKO!$F:$F,'AM &amp; AS'!$B:$B,TOKO!$L:$L,"&lt;100")</f>
        <v>6</v>
      </c>
      <c r="G43" s="7">
        <f>SUMIFS(TOKO!$I:$I,TOKO!$D:$D,'AM &amp; AS'!$A:$A,TOKO!$F:$F,'AM &amp; AS'!$B:$B)</f>
        <v>566.03225806451542</v>
      </c>
      <c r="H43" s="7">
        <f>SUMIFS(TOKO!$J:$J,TOKO!$D:$D,'AM &amp; AS'!$A:$A,TOKO!$F:$F,'AM &amp; AS'!$B:$B)</f>
        <v>0</v>
      </c>
      <c r="I43" s="7">
        <f>SUMIFS(TOKO!$K:$K,TOKO!$D:$D,'AM &amp; AS'!$A:$A,TOKO!$F:$F,'AM &amp; AS'!$B:$B)</f>
        <v>27</v>
      </c>
      <c r="J43" s="16">
        <f t="shared" si="2"/>
        <v>4.7700461617370546</v>
      </c>
    </row>
    <row r="44" spans="1:15">
      <c r="A44" s="14" t="s">
        <v>32</v>
      </c>
      <c r="B44" s="2" t="s">
        <v>220</v>
      </c>
      <c r="C44" s="7">
        <f>COUNTIFS(TOKO!$D:$D,'AM &amp; AS'!$A:$A,TOKO!$F:$F,'AM &amp; AS'!$B:$B)</f>
        <v>7</v>
      </c>
      <c r="D44" s="7">
        <f>COUNTIFS(TOKO!$D:$D,'AM &amp; AS'!$A:$A,TOKO!$F:$F,'AM &amp; AS'!$B:$B,TOKO!$K:$K,"=0")</f>
        <v>0</v>
      </c>
      <c r="E44" s="7">
        <f>COUNTIFS(TOKO!$D:$D,'AM &amp; AS'!$A:$A,TOKO!$F:$F,'AM &amp; AS'!$B:$B,TOKO!$K:$K,"&gt;0")</f>
        <v>0</v>
      </c>
      <c r="F44" s="7">
        <f>COUNTIFS(TOKO!$D:$D,'AM &amp; AS'!$A:$A,TOKO!$F:$F,'AM &amp; AS'!$B:$B,TOKO!$L:$L,"&lt;100")</f>
        <v>0</v>
      </c>
      <c r="G44" s="7">
        <f>SUMIFS(TOKO!$I:$I,TOKO!$D:$D,'AM &amp; AS'!$A:$A,TOKO!$F:$F,'AM &amp; AS'!$B:$B)</f>
        <v>299.22622580645179</v>
      </c>
      <c r="H44" s="7">
        <f>SUMIFS(TOKO!$J:$J,TOKO!$D:$D,'AM &amp; AS'!$A:$A,TOKO!$F:$F,'AM &amp; AS'!$B:$B)</f>
        <v>0</v>
      </c>
      <c r="I44" s="7">
        <f>SUMIFS(TOKO!$K:$K,TOKO!$D:$D,'AM &amp; AS'!$A:$A,TOKO!$F:$F,'AM &amp; AS'!$B:$B)</f>
        <v>0</v>
      </c>
      <c r="J44" s="16">
        <f t="shared" si="2"/>
        <v>0</v>
      </c>
    </row>
    <row r="45" spans="1:15">
      <c r="A45" s="14" t="s">
        <v>221</v>
      </c>
      <c r="B45" s="2" t="s">
        <v>220</v>
      </c>
      <c r="C45" s="7">
        <f>COUNTIFS(TOKO!$D:$D,'AM &amp; AS'!$A:$A,TOKO!$F:$F,'AM &amp; AS'!$B:$B)</f>
        <v>8</v>
      </c>
      <c r="D45" s="7">
        <f>COUNTIFS(TOKO!$D:$D,'AM &amp; AS'!$A:$A,TOKO!$F:$F,'AM &amp; AS'!$B:$B,TOKO!$K:$K,"=0")</f>
        <v>0</v>
      </c>
      <c r="E45" s="7">
        <f>COUNTIFS(TOKO!$D:$D,'AM &amp; AS'!$A:$A,TOKO!$F:$F,'AM &amp; AS'!$B:$B,TOKO!$K:$K,"&gt;0")</f>
        <v>0</v>
      </c>
      <c r="F45" s="7">
        <f>COUNTIFS(TOKO!$D:$D,'AM &amp; AS'!$A:$A,TOKO!$F:$F,'AM &amp; AS'!$B:$B,TOKO!$L:$L,"&lt;100")</f>
        <v>0</v>
      </c>
      <c r="G45" s="7">
        <f>SUMIFS(TOKO!$I:$I,TOKO!$D:$D,'AM &amp; AS'!$A:$A,TOKO!$F:$F,'AM &amp; AS'!$B:$B)</f>
        <v>491.63766129032263</v>
      </c>
      <c r="H45" s="7">
        <f>SUMIFS(TOKO!$J:$J,TOKO!$D:$D,'AM &amp; AS'!$A:$A,TOKO!$F:$F,'AM &amp; AS'!$B:$B)</f>
        <v>0</v>
      </c>
      <c r="I45" s="7">
        <f>SUMIFS(TOKO!$K:$K,TOKO!$D:$D,'AM &amp; AS'!$A:$A,TOKO!$F:$F,'AM &amp; AS'!$B:$B)</f>
        <v>0</v>
      </c>
      <c r="J45" s="16">
        <f t="shared" si="2"/>
        <v>0</v>
      </c>
    </row>
    <row r="46" spans="1:15">
      <c r="A46" s="14" t="s">
        <v>33</v>
      </c>
      <c r="B46" s="2" t="s">
        <v>26</v>
      </c>
      <c r="C46" s="7">
        <f>COUNTIFS(TOKO!$D:$D,'AM &amp; AS'!$A:$A,TOKO!$F:$F,'AM &amp; AS'!$B:$B)</f>
        <v>11</v>
      </c>
      <c r="D46" s="7">
        <f>COUNTIFS(TOKO!$D:$D,'AM &amp; AS'!$A:$A,TOKO!$F:$F,'AM &amp; AS'!$B:$B,TOKO!$K:$K,"=0")</f>
        <v>4</v>
      </c>
      <c r="E46" s="7">
        <f>COUNTIFS(TOKO!$D:$D,'AM &amp; AS'!$A:$A,TOKO!$F:$F,'AM &amp; AS'!$B:$B,TOKO!$K:$K,"&gt;0")</f>
        <v>7</v>
      </c>
      <c r="F46" s="7">
        <f>COUNTIFS(TOKO!$D:$D,'AM &amp; AS'!$A:$A,TOKO!$F:$F,'AM &amp; AS'!$B:$B,TOKO!$L:$L,"&lt;100")</f>
        <v>11</v>
      </c>
      <c r="G46" s="7">
        <f>SUMIFS(TOKO!$I:$I,TOKO!$D:$D,'AM &amp; AS'!$A:$A,TOKO!$F:$F,'AM &amp; AS'!$B:$B)</f>
        <v>459.48387096774212</v>
      </c>
      <c r="H46" s="7">
        <f>SUMIFS(TOKO!$J:$J,TOKO!$D:$D,'AM &amp; AS'!$A:$A,TOKO!$F:$F,'AM &amp; AS'!$B:$B)</f>
        <v>0</v>
      </c>
      <c r="I46" s="7">
        <f>SUMIFS(TOKO!$K:$K,TOKO!$D:$D,'AM &amp; AS'!$A:$A,TOKO!$F:$F,'AM &amp; AS'!$B:$B)</f>
        <v>31</v>
      </c>
      <c r="J46" s="16">
        <f t="shared" si="2"/>
        <v>6.7467003650659896</v>
      </c>
    </row>
    <row r="47" spans="1:15">
      <c r="A47" s="14" t="s">
        <v>33</v>
      </c>
      <c r="B47" s="2" t="s">
        <v>220</v>
      </c>
      <c r="C47" s="7">
        <f>COUNTIFS(TOKO!$D:$D,'AM &amp; AS'!$A:$A,TOKO!$F:$F,'AM &amp; AS'!$B:$B)</f>
        <v>13</v>
      </c>
      <c r="D47" s="7">
        <f>COUNTIFS(TOKO!$D:$D,'AM &amp; AS'!$A:$A,TOKO!$F:$F,'AM &amp; AS'!$B:$B,TOKO!$K:$K,"=0")</f>
        <v>0</v>
      </c>
      <c r="E47" s="7">
        <f>COUNTIFS(TOKO!$D:$D,'AM &amp; AS'!$A:$A,TOKO!$F:$F,'AM &amp; AS'!$B:$B,TOKO!$K:$K,"&gt;0")</f>
        <v>0</v>
      </c>
      <c r="F47" s="7">
        <f>COUNTIFS(TOKO!$D:$D,'AM &amp; AS'!$A:$A,TOKO!$F:$F,'AM &amp; AS'!$B:$B,TOKO!$L:$L,"&lt;100")</f>
        <v>0</v>
      </c>
      <c r="G47" s="7">
        <f>SUMIFS(TOKO!$I:$I,TOKO!$D:$D,'AM &amp; AS'!$A:$A,TOKO!$F:$F,'AM &amp; AS'!$B:$B)</f>
        <v>183.28055645161291</v>
      </c>
      <c r="H47" s="7">
        <f>SUMIFS(TOKO!$J:$J,TOKO!$D:$D,'AM &amp; AS'!$A:$A,TOKO!$F:$F,'AM &amp; AS'!$B:$B)</f>
        <v>0</v>
      </c>
      <c r="I47" s="7">
        <f>SUMIFS(TOKO!$K:$K,TOKO!$D:$D,'AM &amp; AS'!$A:$A,TOKO!$F:$F,'AM &amp; AS'!$B:$B)</f>
        <v>0</v>
      </c>
      <c r="J47" s="16">
        <f t="shared" si="2"/>
        <v>0</v>
      </c>
    </row>
    <row r="48" spans="1:15">
      <c r="A48" s="14" t="s">
        <v>34</v>
      </c>
      <c r="B48" s="2" t="s">
        <v>26</v>
      </c>
      <c r="C48" s="7">
        <f>COUNTIFS(TOKO!$D:$D,'AM &amp; AS'!$A:$A,TOKO!$F:$F,'AM &amp; AS'!$B:$B)</f>
        <v>9</v>
      </c>
      <c r="D48" s="7">
        <f>COUNTIFS(TOKO!$D:$D,'AM &amp; AS'!$A:$A,TOKO!$F:$F,'AM &amp; AS'!$B:$B,TOKO!$K:$K,"=0")</f>
        <v>3</v>
      </c>
      <c r="E48" s="7">
        <f>COUNTIFS(TOKO!$D:$D,'AM &amp; AS'!$A:$A,TOKO!$F:$F,'AM &amp; AS'!$B:$B,TOKO!$K:$K,"&gt;0")</f>
        <v>6</v>
      </c>
      <c r="F48" s="7">
        <f>COUNTIFS(TOKO!$D:$D,'AM &amp; AS'!$A:$A,TOKO!$F:$F,'AM &amp; AS'!$B:$B,TOKO!$L:$L,"&lt;100")</f>
        <v>9</v>
      </c>
      <c r="G48" s="7">
        <f>SUMIFS(TOKO!$I:$I,TOKO!$D:$D,'AM &amp; AS'!$A:$A,TOKO!$F:$F,'AM &amp; AS'!$B:$B)</f>
        <v>328.93548387096769</v>
      </c>
      <c r="H48" s="7">
        <f>SUMIFS(TOKO!$J:$J,TOKO!$D:$D,'AM &amp; AS'!$A:$A,TOKO!$F:$F,'AM &amp; AS'!$B:$B)</f>
        <v>0</v>
      </c>
      <c r="I48" s="7">
        <f>SUMIFS(TOKO!$K:$K,TOKO!$D:$D,'AM &amp; AS'!$A:$A,TOKO!$F:$F,'AM &amp; AS'!$B:$B)</f>
        <v>31</v>
      </c>
      <c r="J48" s="16">
        <f t="shared" si="2"/>
        <v>9.424340492301658</v>
      </c>
    </row>
    <row r="49" spans="1:10">
      <c r="A49" s="14" t="s">
        <v>34</v>
      </c>
      <c r="B49" s="2" t="s">
        <v>220</v>
      </c>
      <c r="C49" s="7">
        <f>COUNTIFS(TOKO!$D:$D,'AM &amp; AS'!$A:$A,TOKO!$F:$F,'AM &amp; AS'!$B:$B)</f>
        <v>13</v>
      </c>
      <c r="D49" s="7">
        <f>COUNTIFS(TOKO!$D:$D,'AM &amp; AS'!$A:$A,TOKO!$F:$F,'AM &amp; AS'!$B:$B,TOKO!$K:$K,"=0")</f>
        <v>0</v>
      </c>
      <c r="E49" s="7">
        <f>COUNTIFS(TOKO!$D:$D,'AM &amp; AS'!$A:$A,TOKO!$F:$F,'AM &amp; AS'!$B:$B,TOKO!$K:$K,"&gt;0")</f>
        <v>0</v>
      </c>
      <c r="F49" s="7">
        <f>COUNTIFS(TOKO!$D:$D,'AM &amp; AS'!$A:$A,TOKO!$F:$F,'AM &amp; AS'!$B:$B,TOKO!$L:$L,"&lt;100")</f>
        <v>0</v>
      </c>
      <c r="G49" s="7">
        <f>SUMIFS(TOKO!$I:$I,TOKO!$D:$D,'AM &amp; AS'!$A:$A,TOKO!$F:$F,'AM &amp; AS'!$B:$B)</f>
        <v>162.88063709677411</v>
      </c>
      <c r="H49" s="7">
        <f>SUMIFS(TOKO!$J:$J,TOKO!$D:$D,'AM &amp; AS'!$A:$A,TOKO!$F:$F,'AM &amp; AS'!$B:$B)</f>
        <v>0</v>
      </c>
      <c r="I49" s="7">
        <f>SUMIFS(TOKO!$K:$K,TOKO!$D:$D,'AM &amp; AS'!$A:$A,TOKO!$F:$F,'AM &amp; AS'!$B:$B)</f>
        <v>0</v>
      </c>
      <c r="J49" s="16">
        <f t="shared" si="2"/>
        <v>0</v>
      </c>
    </row>
    <row r="50" spans="1:10">
      <c r="A50" s="15" t="s">
        <v>27</v>
      </c>
      <c r="B50" s="15"/>
      <c r="C50" s="15">
        <f t="shared" ref="C50:I50" si="3">SUM(C35:C49)</f>
        <v>148</v>
      </c>
      <c r="D50" s="15">
        <f t="shared" si="3"/>
        <v>27</v>
      </c>
      <c r="E50" s="15">
        <f t="shared" si="3"/>
        <v>36</v>
      </c>
      <c r="F50" s="15">
        <f t="shared" si="3"/>
        <v>63</v>
      </c>
      <c r="G50" s="15">
        <f t="shared" si="3"/>
        <v>4620.1441290322573</v>
      </c>
      <c r="H50" s="15">
        <f t="shared" si="3"/>
        <v>0</v>
      </c>
      <c r="I50" s="15">
        <f t="shared" si="3"/>
        <v>187</v>
      </c>
      <c r="J50" s="17">
        <f t="shared" ref="J50" si="4">I50/G50*100</f>
        <v>4.0474927789572943</v>
      </c>
    </row>
  </sheetData>
  <autoFilter ref="A34:O50" xr:uid="{7DC05A29-02B9-47C1-974F-D00954B848CA}">
    <filterColumn colId="11" showButton="0"/>
    <filterColumn colId="12" showButton="0"/>
    <filterColumn colId="13" showButton="0"/>
  </autoFilter>
  <mergeCells count="2">
    <mergeCell ref="L6:O6"/>
    <mergeCell ref="L34:O34"/>
  </mergeCells>
  <conditionalFormatting sqref="I7:I2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:J2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5:I4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5:J49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160"/>
  <sheetViews>
    <sheetView tabSelected="1" zoomScale="93" zoomScaleNormal="93" workbookViewId="0">
      <selection activeCell="K2" sqref="A1:K2"/>
    </sheetView>
  </sheetViews>
  <sheetFormatPr defaultColWidth="8.7109375" defaultRowHeight="15"/>
  <cols>
    <col min="1" max="1" width="8.7109375" style="19"/>
    <col min="2" max="2" width="30.140625" style="19" customWidth="1"/>
    <col min="3" max="3" width="5.28515625" style="19" bestFit="1" customWidth="1"/>
    <col min="4" max="5" width="7.7109375" style="19" customWidth="1"/>
    <col min="6" max="6" width="17.7109375" style="19" customWidth="1"/>
    <col min="7" max="7" width="25" hidden="1" customWidth="1"/>
    <col min="8" max="8" width="10.7109375" style="19" customWidth="1"/>
    <col min="9" max="9" width="10.28515625" style="19" customWidth="1"/>
    <col min="10" max="10" width="10.28515625" hidden="1" customWidth="1"/>
    <col min="11" max="11" width="10.28515625" style="19" customWidth="1"/>
    <col min="12" max="12" width="10.28515625" hidden="1" customWidth="1"/>
    <col min="13" max="16384" width="8.7109375" style="19"/>
  </cols>
  <sheetData>
    <row r="1" spans="1:12">
      <c r="A1" s="19" t="s">
        <v>35</v>
      </c>
    </row>
    <row r="2" spans="1:12">
      <c r="A2" s="19" t="s">
        <v>36</v>
      </c>
      <c r="F2" s="3" t="s">
        <v>7</v>
      </c>
    </row>
    <row r="3" spans="1:12" ht="25.5">
      <c r="A3" s="1" t="s">
        <v>37</v>
      </c>
      <c r="B3" s="1" t="s">
        <v>38</v>
      </c>
      <c r="C3" s="1" t="s">
        <v>6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13</v>
      </c>
      <c r="K3" s="1" t="s">
        <v>2</v>
      </c>
      <c r="L3" s="1" t="s">
        <v>14</v>
      </c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customFormat="1" hidden="1">
      <c r="A5" s="2" t="s">
        <v>83</v>
      </c>
      <c r="B5" s="2" t="s">
        <v>84</v>
      </c>
      <c r="C5" s="2" t="s">
        <v>21</v>
      </c>
      <c r="D5" s="2" t="str">
        <f>VLOOKUP($A5,[1]TOKO!$D$7:$R$594,12,)</f>
        <v>SGY</v>
      </c>
      <c r="E5" s="4" t="s">
        <v>222</v>
      </c>
      <c r="F5" s="2" t="s">
        <v>220</v>
      </c>
      <c r="G5" s="4" t="s">
        <v>50</v>
      </c>
      <c r="H5" s="2"/>
      <c r="I5" s="5">
        <v>10</v>
      </c>
      <c r="J5" s="2"/>
      <c r="K5" s="2"/>
      <c r="L5" s="2"/>
    </row>
    <row r="6" spans="1:12" customFormat="1" hidden="1">
      <c r="A6" s="2" t="s">
        <v>73</v>
      </c>
      <c r="B6" s="2" t="s">
        <v>74</v>
      </c>
      <c r="C6" s="2" t="s">
        <v>21</v>
      </c>
      <c r="D6" s="2" t="str">
        <f>VLOOKUP($A6,[1]TOKO!$D$7:$R$594,12,)</f>
        <v>PJO</v>
      </c>
      <c r="E6" s="4" t="s">
        <v>222</v>
      </c>
      <c r="F6" s="2" t="s">
        <v>220</v>
      </c>
      <c r="G6" s="4" t="s">
        <v>47</v>
      </c>
      <c r="H6" s="2"/>
      <c r="I6" s="5">
        <v>10</v>
      </c>
      <c r="J6" s="2"/>
      <c r="K6" s="2"/>
      <c r="L6" s="2"/>
    </row>
    <row r="7" spans="1:12" customFormat="1" hidden="1">
      <c r="A7" s="2" t="s">
        <v>145</v>
      </c>
      <c r="B7" s="2" t="s">
        <v>146</v>
      </c>
      <c r="C7" s="2" t="s">
        <v>21</v>
      </c>
      <c r="D7" s="2" t="str">
        <f>VLOOKUP($A7,[1]TOKO!$D$7:$R$594,12,)</f>
        <v>RMB</v>
      </c>
      <c r="E7" s="4" t="s">
        <v>222</v>
      </c>
      <c r="F7" s="2" t="s">
        <v>220</v>
      </c>
      <c r="G7" s="4" t="s">
        <v>47</v>
      </c>
      <c r="H7" s="2"/>
      <c r="I7" s="5">
        <v>10</v>
      </c>
      <c r="J7" s="2"/>
      <c r="K7" s="2"/>
      <c r="L7" s="2"/>
    </row>
    <row r="8" spans="1:12" customFormat="1" hidden="1">
      <c r="A8" s="2" t="s">
        <v>81</v>
      </c>
      <c r="B8" s="2" t="s">
        <v>82</v>
      </c>
      <c r="C8" s="2" t="s">
        <v>19</v>
      </c>
      <c r="D8" s="2" t="str">
        <f>VLOOKUP($A8,[1]TOKO!$D$7:$R$594,12,)</f>
        <v>KHO</v>
      </c>
      <c r="E8" s="4" t="s">
        <v>222</v>
      </c>
      <c r="F8" s="2" t="s">
        <v>220</v>
      </c>
      <c r="G8" s="4" t="s">
        <v>47</v>
      </c>
      <c r="H8" s="2"/>
      <c r="I8" s="5">
        <v>10</v>
      </c>
      <c r="J8" s="2"/>
      <c r="K8" s="2"/>
      <c r="L8" s="2"/>
    </row>
    <row r="9" spans="1:12" customFormat="1" hidden="1">
      <c r="A9" s="2" t="s">
        <v>57</v>
      </c>
      <c r="B9" s="2" t="s">
        <v>58</v>
      </c>
      <c r="C9" s="2" t="s">
        <v>21</v>
      </c>
      <c r="D9" s="2" t="str">
        <f>VLOOKUP($A9,[1]TOKO!$D$7:$R$594,12,)</f>
        <v>INK</v>
      </c>
      <c r="E9" s="4" t="s">
        <v>222</v>
      </c>
      <c r="F9" s="2" t="s">
        <v>220</v>
      </c>
      <c r="G9" s="4" t="s">
        <v>50</v>
      </c>
      <c r="H9" s="2"/>
      <c r="I9" s="5">
        <v>10</v>
      </c>
      <c r="J9" s="2"/>
      <c r="K9" s="2"/>
      <c r="L9" s="2"/>
    </row>
    <row r="10" spans="1:12" customFormat="1" hidden="1">
      <c r="A10" s="2" t="s">
        <v>51</v>
      </c>
      <c r="B10" s="2" t="s">
        <v>52</v>
      </c>
      <c r="C10" s="2" t="s">
        <v>21</v>
      </c>
      <c r="D10" s="2" t="str">
        <f>VLOOKUP($A10,[1]TOKO!$D$7:$R$594,12,)</f>
        <v>SGY</v>
      </c>
      <c r="E10" s="4" t="s">
        <v>222</v>
      </c>
      <c r="F10" s="2" t="s">
        <v>220</v>
      </c>
      <c r="G10" s="4" t="s">
        <v>47</v>
      </c>
      <c r="H10" s="2"/>
      <c r="I10" s="5">
        <v>10</v>
      </c>
      <c r="J10" s="2"/>
      <c r="K10" s="2"/>
      <c r="L10" s="2"/>
    </row>
    <row r="11" spans="1:12" customFormat="1" hidden="1">
      <c r="A11" s="2" t="s">
        <v>59</v>
      </c>
      <c r="B11" s="2" t="s">
        <v>60</v>
      </c>
      <c r="C11" s="2" t="s">
        <v>21</v>
      </c>
      <c r="D11" s="2" t="str">
        <f>VLOOKUP($A11,[1]TOKO!$D$7:$R$594,12,)</f>
        <v>SGY</v>
      </c>
      <c r="E11" s="4" t="s">
        <v>222</v>
      </c>
      <c r="F11" s="2" t="s">
        <v>220</v>
      </c>
      <c r="G11" s="4" t="s">
        <v>50</v>
      </c>
      <c r="H11" s="2"/>
      <c r="I11" s="5">
        <v>10</v>
      </c>
      <c r="J11" s="2"/>
      <c r="K11" s="2"/>
      <c r="L11" s="2"/>
    </row>
    <row r="12" spans="1:12" customFormat="1" hidden="1">
      <c r="A12" s="2" t="s">
        <v>53</v>
      </c>
      <c r="B12" s="2" t="s">
        <v>54</v>
      </c>
      <c r="C12" s="2" t="s">
        <v>21</v>
      </c>
      <c r="D12" s="2" t="str">
        <f>VLOOKUP($A12,[1]TOKO!$D$7:$R$594,12,)</f>
        <v>INK</v>
      </c>
      <c r="E12" s="4" t="s">
        <v>222</v>
      </c>
      <c r="F12" s="2" t="s">
        <v>220</v>
      </c>
      <c r="G12" s="4" t="s">
        <v>47</v>
      </c>
      <c r="H12" s="2"/>
      <c r="I12" s="5">
        <v>10</v>
      </c>
      <c r="J12" s="2"/>
      <c r="K12" s="2"/>
      <c r="L12" s="2"/>
    </row>
    <row r="13" spans="1:12" customFormat="1" hidden="1">
      <c r="A13" s="2" t="s">
        <v>67</v>
      </c>
      <c r="B13" s="2" t="s">
        <v>68</v>
      </c>
      <c r="C13" s="2" t="s">
        <v>19</v>
      </c>
      <c r="D13" s="2" t="str">
        <f>VLOOKUP($A13,[1]TOKO!$D$7:$R$594,12,)</f>
        <v>YRD</v>
      </c>
      <c r="E13" s="4" t="s">
        <v>222</v>
      </c>
      <c r="F13" s="2" t="s">
        <v>220</v>
      </c>
      <c r="G13" s="4" t="s">
        <v>47</v>
      </c>
      <c r="H13" s="2"/>
      <c r="I13" s="5">
        <v>10</v>
      </c>
      <c r="J13" s="2"/>
      <c r="K13" s="2"/>
      <c r="L13" s="2"/>
    </row>
    <row r="14" spans="1:12" customFormat="1" hidden="1">
      <c r="A14" s="2" t="s">
        <v>117</v>
      </c>
      <c r="B14" s="2" t="s">
        <v>118</v>
      </c>
      <c r="C14" s="2" t="s">
        <v>19</v>
      </c>
      <c r="D14" s="2" t="str">
        <f>VLOOKUP($A14,[1]TOKO!$D$7:$R$594,12,)</f>
        <v>YRD</v>
      </c>
      <c r="E14" s="4" t="s">
        <v>222</v>
      </c>
      <c r="F14" s="2" t="s">
        <v>220</v>
      </c>
      <c r="G14" s="4" t="s">
        <v>47</v>
      </c>
      <c r="H14" s="2"/>
      <c r="I14" s="5">
        <v>10</v>
      </c>
      <c r="J14" s="2"/>
      <c r="K14" s="2"/>
      <c r="L14" s="2"/>
    </row>
    <row r="15" spans="1:12" customFormat="1" hidden="1">
      <c r="A15" s="2" t="s">
        <v>65</v>
      </c>
      <c r="B15" s="2" t="s">
        <v>66</v>
      </c>
      <c r="C15" s="2" t="s">
        <v>21</v>
      </c>
      <c r="D15" s="2" t="str">
        <f>VLOOKUP($A15,[1]TOKO!$D$7:$R$594,12,)</f>
        <v>INK</v>
      </c>
      <c r="E15" s="4" t="s">
        <v>222</v>
      </c>
      <c r="F15" s="2" t="s">
        <v>220</v>
      </c>
      <c r="G15" s="4" t="s">
        <v>47</v>
      </c>
      <c r="H15" s="2"/>
      <c r="I15" s="5">
        <v>10</v>
      </c>
      <c r="J15" s="2"/>
      <c r="K15" s="2"/>
      <c r="L15" s="2"/>
    </row>
    <row r="16" spans="1:12" customFormat="1" hidden="1">
      <c r="A16" s="2" t="s">
        <v>139</v>
      </c>
      <c r="B16" s="2" t="s">
        <v>140</v>
      </c>
      <c r="C16" s="2" t="s">
        <v>21</v>
      </c>
      <c r="D16" s="2" t="str">
        <f>VLOOKUP($A16,[1]TOKO!$D$7:$R$594,12,)</f>
        <v>RMB</v>
      </c>
      <c r="E16" s="4" t="s">
        <v>222</v>
      </c>
      <c r="F16" s="2" t="s">
        <v>220</v>
      </c>
      <c r="G16" s="4" t="s">
        <v>47</v>
      </c>
      <c r="H16" s="2"/>
      <c r="I16" s="5">
        <v>10</v>
      </c>
      <c r="J16" s="2"/>
      <c r="K16" s="2"/>
      <c r="L16" s="2"/>
    </row>
    <row r="17" spans="1:12" customFormat="1" hidden="1">
      <c r="A17" s="2" t="s">
        <v>91</v>
      </c>
      <c r="B17" s="2" t="s">
        <v>92</v>
      </c>
      <c r="C17" s="2" t="s">
        <v>19</v>
      </c>
      <c r="D17" s="2" t="str">
        <f>VLOOKUP($A17,[1]TOKO!$D$7:$R$594,12,)</f>
        <v>YRD</v>
      </c>
      <c r="E17" s="4" t="s">
        <v>222</v>
      </c>
      <c r="F17" s="2" t="s">
        <v>220</v>
      </c>
      <c r="G17" s="4" t="s">
        <v>47</v>
      </c>
      <c r="H17" s="2"/>
      <c r="I17" s="5">
        <v>10</v>
      </c>
      <c r="J17" s="2"/>
      <c r="K17" s="2"/>
      <c r="L17" s="2"/>
    </row>
    <row r="18" spans="1:12" customFormat="1" hidden="1">
      <c r="A18" s="2" t="s">
        <v>129</v>
      </c>
      <c r="B18" s="2" t="s">
        <v>130</v>
      </c>
      <c r="C18" s="2" t="s">
        <v>21</v>
      </c>
      <c r="D18" s="2" t="str">
        <f>VLOOKUP($A18,[1]TOKO!$D$7:$R$594,12,)</f>
        <v>RMB</v>
      </c>
      <c r="E18" s="4" t="s">
        <v>222</v>
      </c>
      <c r="F18" s="2" t="s">
        <v>220</v>
      </c>
      <c r="G18" s="4" t="s">
        <v>47</v>
      </c>
      <c r="H18" s="2"/>
      <c r="I18" s="5">
        <v>10</v>
      </c>
      <c r="J18" s="2"/>
      <c r="K18" s="2"/>
      <c r="L18" s="2"/>
    </row>
    <row r="19" spans="1:12" customFormat="1" hidden="1">
      <c r="A19" s="2" t="s">
        <v>85</v>
      </c>
      <c r="B19" s="2" t="s">
        <v>86</v>
      </c>
      <c r="C19" s="2" t="s">
        <v>19</v>
      </c>
      <c r="D19" s="2" t="str">
        <f>VLOOKUP($A19,[1]TOKO!$D$7:$R$594,12,)</f>
        <v>YRD</v>
      </c>
      <c r="E19" s="4" t="s">
        <v>222</v>
      </c>
      <c r="F19" s="2" t="s">
        <v>220</v>
      </c>
      <c r="G19" s="4" t="s">
        <v>47</v>
      </c>
      <c r="H19" s="2"/>
      <c r="I19" s="5">
        <v>10</v>
      </c>
      <c r="J19" s="2"/>
      <c r="K19" s="2"/>
      <c r="L19" s="2"/>
    </row>
    <row r="20" spans="1:12" customFormat="1" hidden="1">
      <c r="A20" s="2" t="s">
        <v>69</v>
      </c>
      <c r="B20" s="2" t="s">
        <v>70</v>
      </c>
      <c r="C20" s="2" t="s">
        <v>19</v>
      </c>
      <c r="D20" s="2" t="str">
        <f>VLOOKUP($A20,[1]TOKO!$D$7:$R$594,12,)</f>
        <v>YRD</v>
      </c>
      <c r="E20" s="4" t="s">
        <v>222</v>
      </c>
      <c r="F20" s="2" t="s">
        <v>220</v>
      </c>
      <c r="G20" s="4" t="s">
        <v>50</v>
      </c>
      <c r="H20" s="2"/>
      <c r="I20" s="5">
        <v>10</v>
      </c>
      <c r="J20" s="2"/>
      <c r="K20" s="2"/>
      <c r="L20" s="2"/>
    </row>
    <row r="21" spans="1:12" customFormat="1" hidden="1">
      <c r="A21" s="2" t="s">
        <v>79</v>
      </c>
      <c r="B21" s="2" t="s">
        <v>80</v>
      </c>
      <c r="C21" s="2" t="s">
        <v>21</v>
      </c>
      <c r="D21" s="2" t="str">
        <f>VLOOKUP($A21,[1]TOKO!$D$7:$R$594,12,)</f>
        <v>SGY</v>
      </c>
      <c r="E21" s="4" t="s">
        <v>222</v>
      </c>
      <c r="F21" s="2" t="s">
        <v>220</v>
      </c>
      <c r="G21" s="4" t="s">
        <v>47</v>
      </c>
      <c r="H21" s="2"/>
      <c r="I21" s="5">
        <v>10</v>
      </c>
      <c r="J21" s="2"/>
      <c r="K21" s="2"/>
      <c r="L21" s="2"/>
    </row>
    <row r="22" spans="1:12" customFormat="1" hidden="1">
      <c r="A22" s="2" t="s">
        <v>171</v>
      </c>
      <c r="B22" s="2" t="s">
        <v>172</v>
      </c>
      <c r="C22" s="2" t="s">
        <v>21</v>
      </c>
      <c r="D22" s="2" t="str">
        <f>VLOOKUP($A22,[1]TOKO!$D$7:$R$594,12,)</f>
        <v>INK</v>
      </c>
      <c r="E22" s="4" t="s">
        <v>222</v>
      </c>
      <c r="F22" s="2" t="s">
        <v>220</v>
      </c>
      <c r="G22" s="4" t="s">
        <v>47</v>
      </c>
      <c r="H22" s="2"/>
      <c r="I22" s="5">
        <v>10</v>
      </c>
      <c r="J22" s="2"/>
      <c r="K22" s="2"/>
      <c r="L22" s="2"/>
    </row>
    <row r="23" spans="1:12" customFormat="1" hidden="1">
      <c r="A23" s="2" t="s">
        <v>48</v>
      </c>
      <c r="B23" s="2" t="s">
        <v>49</v>
      </c>
      <c r="C23" s="2" t="s">
        <v>21</v>
      </c>
      <c r="D23" s="2" t="str">
        <f>VLOOKUP($A23,[1]TOKO!$D$7:$R$594,12,)</f>
        <v>INK</v>
      </c>
      <c r="E23" s="4" t="s">
        <v>222</v>
      </c>
      <c r="F23" s="2" t="s">
        <v>220</v>
      </c>
      <c r="G23" s="4" t="s">
        <v>50</v>
      </c>
      <c r="H23" s="2"/>
      <c r="I23" s="5">
        <v>10</v>
      </c>
      <c r="J23" s="2"/>
      <c r="K23" s="2"/>
      <c r="L23" s="2"/>
    </row>
    <row r="24" spans="1:12" customFormat="1" hidden="1">
      <c r="A24" s="2" t="s">
        <v>89</v>
      </c>
      <c r="B24" s="2" t="s">
        <v>90</v>
      </c>
      <c r="C24" s="2" t="s">
        <v>19</v>
      </c>
      <c r="D24" s="2" t="str">
        <f>VLOOKUP($A24,[1]TOKO!$D$7:$R$594,12,)</f>
        <v>KHO</v>
      </c>
      <c r="E24" s="4" t="s">
        <v>222</v>
      </c>
      <c r="F24" s="2" t="s">
        <v>220</v>
      </c>
      <c r="G24" s="4" t="s">
        <v>47</v>
      </c>
      <c r="H24" s="2"/>
      <c r="I24" s="5">
        <v>10</v>
      </c>
      <c r="J24" s="2"/>
      <c r="K24" s="2"/>
      <c r="L24" s="2"/>
    </row>
    <row r="25" spans="1:12" customFormat="1" hidden="1">
      <c r="A25" s="2" t="s">
        <v>107</v>
      </c>
      <c r="B25" s="2" t="s">
        <v>108</v>
      </c>
      <c r="C25" s="2" t="s">
        <v>21</v>
      </c>
      <c r="D25" s="2" t="str">
        <f>VLOOKUP($A25,[1]TOKO!$D$7:$R$594,12,)</f>
        <v>RMB</v>
      </c>
      <c r="E25" s="4" t="s">
        <v>222</v>
      </c>
      <c r="F25" s="2" t="s">
        <v>220</v>
      </c>
      <c r="G25" s="4" t="s">
        <v>47</v>
      </c>
      <c r="H25" s="2"/>
      <c r="I25" s="5">
        <v>10</v>
      </c>
      <c r="J25" s="2"/>
      <c r="K25" s="2"/>
      <c r="L25" s="2"/>
    </row>
    <row r="26" spans="1:12" customFormat="1" hidden="1">
      <c r="A26" s="2" t="s">
        <v>63</v>
      </c>
      <c r="B26" s="2" t="s">
        <v>64</v>
      </c>
      <c r="C26" s="2" t="s">
        <v>21</v>
      </c>
      <c r="D26" s="2" t="str">
        <f>VLOOKUP($A26,[1]TOKO!$D$7:$R$594,12,)</f>
        <v>SGY</v>
      </c>
      <c r="E26" s="4" t="s">
        <v>222</v>
      </c>
      <c r="F26" s="2" t="s">
        <v>220</v>
      </c>
      <c r="G26" s="4" t="s">
        <v>47</v>
      </c>
      <c r="H26" s="2"/>
      <c r="I26" s="5">
        <v>10</v>
      </c>
      <c r="J26" s="2"/>
      <c r="K26" s="2"/>
      <c r="L26" s="2"/>
    </row>
    <row r="27" spans="1:12" customFormat="1" hidden="1">
      <c r="A27" s="2" t="s">
        <v>55</v>
      </c>
      <c r="B27" s="2" t="s">
        <v>56</v>
      </c>
      <c r="C27" s="2" t="s">
        <v>19</v>
      </c>
      <c r="D27" s="2" t="str">
        <f>VLOOKUP($A27,[1]TOKO!$D$7:$R$594,12,)</f>
        <v>KHO</v>
      </c>
      <c r="E27" s="4" t="s">
        <v>222</v>
      </c>
      <c r="F27" s="2" t="s">
        <v>220</v>
      </c>
      <c r="G27" s="4" t="s">
        <v>50</v>
      </c>
      <c r="H27" s="2"/>
      <c r="I27" s="5">
        <v>10</v>
      </c>
      <c r="J27" s="2"/>
      <c r="K27" s="2"/>
      <c r="L27" s="2"/>
    </row>
    <row r="28" spans="1:12" customFormat="1" hidden="1">
      <c r="A28" s="2" t="s">
        <v>151</v>
      </c>
      <c r="B28" s="2" t="s">
        <v>152</v>
      </c>
      <c r="C28" s="2" t="s">
        <v>21</v>
      </c>
      <c r="D28" s="2" t="str">
        <f>VLOOKUP($A28,[1]TOKO!$D$7:$R$594,12,)</f>
        <v>INK</v>
      </c>
      <c r="E28" s="4" t="s">
        <v>222</v>
      </c>
      <c r="F28" s="2" t="s">
        <v>220</v>
      </c>
      <c r="G28" s="4" t="s">
        <v>47</v>
      </c>
      <c r="H28" s="2"/>
      <c r="I28" s="5">
        <v>10</v>
      </c>
      <c r="J28" s="2"/>
      <c r="K28" s="2"/>
      <c r="L28" s="2"/>
    </row>
    <row r="29" spans="1:12" customFormat="1" hidden="1">
      <c r="A29" s="2" t="s">
        <v>77</v>
      </c>
      <c r="B29" s="2" t="s">
        <v>78</v>
      </c>
      <c r="C29" s="2" t="s">
        <v>19</v>
      </c>
      <c r="D29" s="2" t="str">
        <f>VLOOKUP($A29,[1]TOKO!$D$7:$R$594,12,)</f>
        <v>KHO</v>
      </c>
      <c r="E29" s="4" t="s">
        <v>222</v>
      </c>
      <c r="F29" s="2" t="s">
        <v>220</v>
      </c>
      <c r="G29" s="4" t="s">
        <v>47</v>
      </c>
      <c r="H29" s="2"/>
      <c r="I29" s="5">
        <v>10</v>
      </c>
      <c r="J29" s="2"/>
      <c r="K29" s="2"/>
      <c r="L29" s="2"/>
    </row>
    <row r="30" spans="1:12" customFormat="1" hidden="1">
      <c r="A30" s="2" t="s">
        <v>121</v>
      </c>
      <c r="B30" s="2" t="s">
        <v>122</v>
      </c>
      <c r="C30" s="2" t="s">
        <v>21</v>
      </c>
      <c r="D30" s="2" t="str">
        <f>VLOOKUP($A30,[1]TOKO!$D$7:$R$594,12,)</f>
        <v>SGY</v>
      </c>
      <c r="E30" s="4" t="s">
        <v>222</v>
      </c>
      <c r="F30" s="2" t="s">
        <v>220</v>
      </c>
      <c r="G30" s="4" t="s">
        <v>47</v>
      </c>
      <c r="H30" s="2"/>
      <c r="I30" s="5">
        <v>10</v>
      </c>
      <c r="J30" s="2"/>
      <c r="K30" s="2"/>
      <c r="L30" s="2"/>
    </row>
    <row r="31" spans="1:12" customFormat="1" hidden="1">
      <c r="A31" s="2" t="s">
        <v>111</v>
      </c>
      <c r="B31" s="2" t="s">
        <v>112</v>
      </c>
      <c r="C31" s="2" t="s">
        <v>21</v>
      </c>
      <c r="D31" s="2" t="str">
        <f>VLOOKUP($A31,[1]TOKO!$D$7:$R$594,12,)</f>
        <v>SGY</v>
      </c>
      <c r="E31" s="4" t="s">
        <v>222</v>
      </c>
      <c r="F31" s="2" t="s">
        <v>220</v>
      </c>
      <c r="G31" s="4" t="s">
        <v>47</v>
      </c>
      <c r="H31" s="2"/>
      <c r="I31" s="5">
        <v>10</v>
      </c>
      <c r="J31" s="2"/>
      <c r="K31" s="2"/>
      <c r="L31" s="2"/>
    </row>
    <row r="32" spans="1:12" customFormat="1" hidden="1">
      <c r="A32" s="2" t="s">
        <v>115</v>
      </c>
      <c r="B32" s="2" t="s">
        <v>116</v>
      </c>
      <c r="C32" s="2" t="s">
        <v>21</v>
      </c>
      <c r="D32" s="2" t="str">
        <f>VLOOKUP($A32,[1]TOKO!$D$7:$R$594,12,)</f>
        <v>RMB</v>
      </c>
      <c r="E32" s="4" t="s">
        <v>222</v>
      </c>
      <c r="F32" s="2" t="s">
        <v>220</v>
      </c>
      <c r="G32" s="4" t="s">
        <v>47</v>
      </c>
      <c r="H32" s="2"/>
      <c r="I32" s="5">
        <v>9.7718709677419398</v>
      </c>
      <c r="J32" s="2"/>
      <c r="K32" s="2"/>
      <c r="L32" s="2"/>
    </row>
    <row r="33" spans="1:12" customFormat="1" hidden="1">
      <c r="A33" s="2" t="s">
        <v>99</v>
      </c>
      <c r="B33" s="2" t="s">
        <v>100</v>
      </c>
      <c r="C33" s="2" t="s">
        <v>21</v>
      </c>
      <c r="D33" s="2" t="str">
        <f>VLOOKUP($A33,[1]TOKO!$D$7:$R$594,12,)</f>
        <v>INK</v>
      </c>
      <c r="E33" s="4" t="s">
        <v>222</v>
      </c>
      <c r="F33" s="2" t="s">
        <v>220</v>
      </c>
      <c r="G33" s="4" t="s">
        <v>47</v>
      </c>
      <c r="H33" s="2"/>
      <c r="I33" s="5">
        <v>9.9825725806451597</v>
      </c>
      <c r="J33" s="2"/>
      <c r="K33" s="2"/>
      <c r="L33" s="2"/>
    </row>
    <row r="34" spans="1:12" customFormat="1" hidden="1">
      <c r="A34" s="2" t="s">
        <v>87</v>
      </c>
      <c r="B34" s="2" t="s">
        <v>88</v>
      </c>
      <c r="C34" s="2" t="s">
        <v>21</v>
      </c>
      <c r="D34" s="2" t="str">
        <f>VLOOKUP($A34,[1]TOKO!$D$7:$R$594,12,)</f>
        <v>SGY</v>
      </c>
      <c r="E34" s="4" t="s">
        <v>222</v>
      </c>
      <c r="F34" s="2" t="s">
        <v>220</v>
      </c>
      <c r="G34" s="4" t="s">
        <v>47</v>
      </c>
      <c r="H34" s="2"/>
      <c r="I34" s="5">
        <v>10.007314516129</v>
      </c>
      <c r="J34" s="2"/>
      <c r="K34" s="2"/>
      <c r="L34" s="2"/>
    </row>
    <row r="35" spans="1:12" customFormat="1" hidden="1">
      <c r="A35" s="2" t="s">
        <v>101</v>
      </c>
      <c r="B35" s="2" t="s">
        <v>102</v>
      </c>
      <c r="C35" s="2" t="s">
        <v>19</v>
      </c>
      <c r="D35" s="2" t="str">
        <f>VLOOKUP($A35,[1]TOKO!$D$7:$R$594,12,)</f>
        <v>YRD</v>
      </c>
      <c r="E35" s="4" t="s">
        <v>222</v>
      </c>
      <c r="F35" s="2" t="s">
        <v>220</v>
      </c>
      <c r="G35" s="4" t="s">
        <v>47</v>
      </c>
      <c r="H35" s="2"/>
      <c r="I35" s="5">
        <v>10.135185483871</v>
      </c>
      <c r="J35" s="2"/>
      <c r="K35" s="2"/>
      <c r="L35" s="2"/>
    </row>
    <row r="36" spans="1:12" customFormat="1" hidden="1">
      <c r="A36" s="2" t="s">
        <v>95</v>
      </c>
      <c r="B36" s="2" t="s">
        <v>96</v>
      </c>
      <c r="C36" s="2" t="s">
        <v>19</v>
      </c>
      <c r="D36" s="2" t="str">
        <f>VLOOKUP($A36,[1]TOKO!$D$7:$R$594,12,)</f>
        <v>KHO</v>
      </c>
      <c r="E36" s="4" t="s">
        <v>222</v>
      </c>
      <c r="F36" s="2" t="s">
        <v>220</v>
      </c>
      <c r="G36" s="4" t="s">
        <v>47</v>
      </c>
      <c r="H36" s="2"/>
      <c r="I36" s="5">
        <v>10.3665967741935</v>
      </c>
      <c r="J36" s="2"/>
      <c r="K36" s="2"/>
      <c r="L36" s="2"/>
    </row>
    <row r="37" spans="1:12" customFormat="1" hidden="1">
      <c r="A37" s="2" t="s">
        <v>157</v>
      </c>
      <c r="B37" s="2" t="s">
        <v>158</v>
      </c>
      <c r="C37" s="2" t="s">
        <v>21</v>
      </c>
      <c r="D37" s="2" t="str">
        <f>VLOOKUP($A37,[1]TOKO!$D$7:$R$594,12,)</f>
        <v>INK</v>
      </c>
      <c r="E37" s="4" t="s">
        <v>222</v>
      </c>
      <c r="F37" s="2" t="s">
        <v>220</v>
      </c>
      <c r="G37" s="4" t="s">
        <v>47</v>
      </c>
      <c r="H37" s="2"/>
      <c r="I37" s="5">
        <v>10.694612903225799</v>
      </c>
      <c r="J37" s="2"/>
      <c r="K37" s="2"/>
      <c r="L37" s="2"/>
    </row>
    <row r="38" spans="1:12" customFormat="1" hidden="1">
      <c r="A38" s="2" t="s">
        <v>71</v>
      </c>
      <c r="B38" s="2" t="s">
        <v>72</v>
      </c>
      <c r="C38" s="2" t="s">
        <v>19</v>
      </c>
      <c r="D38" s="2" t="str">
        <f>VLOOKUP($A38,[1]TOKO!$D$7:$R$594,12,)</f>
        <v>KHO</v>
      </c>
      <c r="E38" s="4" t="s">
        <v>222</v>
      </c>
      <c r="F38" s="2" t="s">
        <v>220</v>
      </c>
      <c r="G38" s="4" t="s">
        <v>50</v>
      </c>
      <c r="H38" s="2"/>
      <c r="I38" s="5">
        <v>10.8907419354839</v>
      </c>
      <c r="J38" s="2"/>
      <c r="K38" s="2"/>
      <c r="L38" s="2"/>
    </row>
    <row r="39" spans="1:12" customFormat="1" hidden="1">
      <c r="A39" s="2" t="s">
        <v>159</v>
      </c>
      <c r="B39" s="2" t="s">
        <v>160</v>
      </c>
      <c r="C39" s="2" t="s">
        <v>21</v>
      </c>
      <c r="D39" s="2" t="str">
        <f>VLOOKUP($A39,[1]TOKO!$D$7:$R$594,12,)</f>
        <v>PJO</v>
      </c>
      <c r="E39" s="4" t="s">
        <v>222</v>
      </c>
      <c r="F39" s="2" t="s">
        <v>220</v>
      </c>
      <c r="G39" s="4" t="s">
        <v>47</v>
      </c>
      <c r="H39" s="2"/>
      <c r="I39" s="5">
        <v>11.4065725806452</v>
      </c>
      <c r="J39" s="2"/>
      <c r="K39" s="2"/>
      <c r="L39" s="2"/>
    </row>
    <row r="40" spans="1:12" customFormat="1" hidden="1">
      <c r="A40" s="2" t="s">
        <v>45</v>
      </c>
      <c r="B40" s="2" t="s">
        <v>46</v>
      </c>
      <c r="C40" s="2" t="s">
        <v>21</v>
      </c>
      <c r="D40" s="2" t="str">
        <f>VLOOKUP($A40,[1]TOKO!$D$7:$R$594,12,)</f>
        <v>RMB</v>
      </c>
      <c r="E40" s="4" t="s">
        <v>222</v>
      </c>
      <c r="F40" s="2" t="s">
        <v>220</v>
      </c>
      <c r="G40" s="4" t="s">
        <v>47</v>
      </c>
      <c r="H40" s="2"/>
      <c r="I40" s="5">
        <v>11.4719838709677</v>
      </c>
      <c r="J40" s="2"/>
      <c r="K40" s="2"/>
      <c r="L40" s="2"/>
    </row>
    <row r="41" spans="1:12" customFormat="1" hidden="1">
      <c r="A41" s="2" t="s">
        <v>103</v>
      </c>
      <c r="B41" s="2" t="s">
        <v>104</v>
      </c>
      <c r="C41" s="2" t="s">
        <v>19</v>
      </c>
      <c r="D41" s="2" t="str">
        <f>VLOOKUP($A41,[1]TOKO!$D$7:$R$594,12,)</f>
        <v>YRD</v>
      </c>
      <c r="E41" s="4" t="s">
        <v>222</v>
      </c>
      <c r="F41" s="2" t="s">
        <v>220</v>
      </c>
      <c r="G41" s="4" t="s">
        <v>47</v>
      </c>
      <c r="H41" s="2"/>
      <c r="I41" s="5">
        <v>11.4792338709677</v>
      </c>
      <c r="J41" s="2"/>
      <c r="K41" s="2"/>
      <c r="L41" s="2"/>
    </row>
    <row r="42" spans="1:12" customFormat="1" hidden="1">
      <c r="A42" s="2" t="s">
        <v>135</v>
      </c>
      <c r="B42" s="2" t="s">
        <v>136</v>
      </c>
      <c r="C42" s="2" t="s">
        <v>21</v>
      </c>
      <c r="D42" s="2" t="str">
        <f>VLOOKUP($A42,[1]TOKO!$D$7:$R$594,12,)</f>
        <v>RMB</v>
      </c>
      <c r="E42" s="4" t="s">
        <v>222</v>
      </c>
      <c r="F42" s="2" t="s">
        <v>220</v>
      </c>
      <c r="G42" s="4" t="s">
        <v>47</v>
      </c>
      <c r="H42" s="2"/>
      <c r="I42" s="5">
        <v>11.580943548387101</v>
      </c>
      <c r="J42" s="2"/>
      <c r="K42" s="2"/>
      <c r="L42" s="2"/>
    </row>
    <row r="43" spans="1:12" customFormat="1" hidden="1">
      <c r="A43" s="2" t="s">
        <v>61</v>
      </c>
      <c r="B43" s="2" t="s">
        <v>62</v>
      </c>
      <c r="C43" s="2" t="s">
        <v>19</v>
      </c>
      <c r="D43" s="2" t="str">
        <f>VLOOKUP($A43,[1]TOKO!$D$7:$R$594,12,)</f>
        <v>YRD</v>
      </c>
      <c r="E43" s="4" t="s">
        <v>222</v>
      </c>
      <c r="F43" s="2" t="s">
        <v>220</v>
      </c>
      <c r="G43" s="4" t="s">
        <v>47</v>
      </c>
      <c r="H43" s="2"/>
      <c r="I43" s="5">
        <v>11.631814516128999</v>
      </c>
      <c r="J43" s="2"/>
      <c r="K43" s="2"/>
      <c r="L43" s="2"/>
    </row>
    <row r="44" spans="1:12" customFormat="1" hidden="1">
      <c r="A44" s="2" t="s">
        <v>165</v>
      </c>
      <c r="B44" s="2" t="s">
        <v>166</v>
      </c>
      <c r="C44" s="2" t="s">
        <v>21</v>
      </c>
      <c r="D44" s="2" t="str">
        <f>VLOOKUP($A44,[1]TOKO!$D$7:$R$594,12,)</f>
        <v>INK</v>
      </c>
      <c r="E44" s="4" t="s">
        <v>222</v>
      </c>
      <c r="F44" s="2" t="s">
        <v>220</v>
      </c>
      <c r="G44" s="4" t="s">
        <v>47</v>
      </c>
      <c r="H44" s="2"/>
      <c r="I44" s="5">
        <v>11.686217741935501</v>
      </c>
      <c r="J44" s="2"/>
      <c r="K44" s="2"/>
      <c r="L44" s="2"/>
    </row>
    <row r="45" spans="1:12" customFormat="1" hidden="1">
      <c r="A45" s="2" t="s">
        <v>109</v>
      </c>
      <c r="B45" s="2" t="s">
        <v>110</v>
      </c>
      <c r="C45" s="2" t="s">
        <v>21</v>
      </c>
      <c r="D45" s="2" t="str">
        <f>VLOOKUP($A45,[1]TOKO!$D$7:$R$594,12,)</f>
        <v>PJO</v>
      </c>
      <c r="E45" s="4" t="s">
        <v>222</v>
      </c>
      <c r="F45" s="2" t="s">
        <v>220</v>
      </c>
      <c r="G45" s="4" t="s">
        <v>47</v>
      </c>
      <c r="H45" s="2"/>
      <c r="I45" s="5">
        <v>11.842467741935501</v>
      </c>
      <c r="J45" s="2"/>
      <c r="K45" s="2"/>
      <c r="L45" s="2"/>
    </row>
    <row r="46" spans="1:12" customFormat="1" hidden="1">
      <c r="A46" s="2" t="s">
        <v>113</v>
      </c>
      <c r="B46" s="2" t="s">
        <v>114</v>
      </c>
      <c r="C46" s="2" t="s">
        <v>19</v>
      </c>
      <c r="D46" s="2" t="str">
        <f>VLOOKUP($A46,[1]TOKO!$D$7:$R$594,12,)</f>
        <v>YRD</v>
      </c>
      <c r="E46" s="4" t="s">
        <v>222</v>
      </c>
      <c r="F46" s="2" t="s">
        <v>220</v>
      </c>
      <c r="G46" s="4" t="s">
        <v>47</v>
      </c>
      <c r="H46" s="2"/>
      <c r="I46" s="5">
        <v>12.0822661290323</v>
      </c>
      <c r="J46" s="2"/>
      <c r="K46" s="2"/>
      <c r="L46" s="2"/>
    </row>
    <row r="47" spans="1:12" customFormat="1" hidden="1">
      <c r="A47" s="2" t="s">
        <v>97</v>
      </c>
      <c r="B47" s="2" t="s">
        <v>98</v>
      </c>
      <c r="C47" s="2" t="s">
        <v>21</v>
      </c>
      <c r="D47" s="2" t="str">
        <f>VLOOKUP($A47,[1]TOKO!$D$7:$R$594,12,)</f>
        <v>INK</v>
      </c>
      <c r="E47" s="4" t="s">
        <v>222</v>
      </c>
      <c r="F47" s="2" t="s">
        <v>220</v>
      </c>
      <c r="G47" s="4" t="s">
        <v>47</v>
      </c>
      <c r="H47" s="2"/>
      <c r="I47" s="5">
        <v>12.307483870967699</v>
      </c>
      <c r="J47" s="2"/>
      <c r="K47" s="2"/>
      <c r="L47" s="2"/>
    </row>
    <row r="48" spans="1:12" customFormat="1" hidden="1">
      <c r="A48" s="2" t="s">
        <v>137</v>
      </c>
      <c r="B48" s="2" t="s">
        <v>138</v>
      </c>
      <c r="C48" s="2" t="s">
        <v>19</v>
      </c>
      <c r="D48" s="2" t="str">
        <f>VLOOKUP($A48,[1]TOKO!$D$7:$R$594,12,)</f>
        <v>YRD</v>
      </c>
      <c r="E48" s="4" t="s">
        <v>222</v>
      </c>
      <c r="F48" s="2" t="s">
        <v>220</v>
      </c>
      <c r="G48" s="4" t="s">
        <v>47</v>
      </c>
      <c r="H48" s="2"/>
      <c r="I48" s="5">
        <v>12.4237258064516</v>
      </c>
      <c r="J48" s="2"/>
      <c r="K48" s="2"/>
      <c r="L48" s="2"/>
    </row>
    <row r="49" spans="1:12" customFormat="1" hidden="1">
      <c r="A49" s="2" t="s">
        <v>141</v>
      </c>
      <c r="B49" s="2" t="s">
        <v>142</v>
      </c>
      <c r="C49" s="2" t="s">
        <v>19</v>
      </c>
      <c r="D49" s="2" t="str">
        <f>VLOOKUP($A49,[1]TOKO!$D$7:$R$594,12,)</f>
        <v>YRD</v>
      </c>
      <c r="E49" s="4" t="s">
        <v>222</v>
      </c>
      <c r="F49" s="2" t="s">
        <v>220</v>
      </c>
      <c r="G49" s="4" t="s">
        <v>47</v>
      </c>
      <c r="H49" s="2"/>
      <c r="I49" s="5">
        <v>13.295564516129</v>
      </c>
      <c r="J49" s="2"/>
      <c r="K49" s="2"/>
      <c r="L49" s="2"/>
    </row>
    <row r="50" spans="1:12" customFormat="1" hidden="1">
      <c r="A50" s="2" t="s">
        <v>143</v>
      </c>
      <c r="B50" s="2" t="s">
        <v>144</v>
      </c>
      <c r="C50" s="2" t="s">
        <v>21</v>
      </c>
      <c r="D50" s="2" t="str">
        <f>VLOOKUP($A50,[1]TOKO!$D$7:$R$594,12,)</f>
        <v>PJO</v>
      </c>
      <c r="E50" s="4" t="s">
        <v>222</v>
      </c>
      <c r="F50" s="2" t="s">
        <v>220</v>
      </c>
      <c r="G50" s="4" t="s">
        <v>47</v>
      </c>
      <c r="H50" s="2"/>
      <c r="I50" s="5">
        <v>13.4989758064516</v>
      </c>
      <c r="J50" s="2"/>
      <c r="K50" s="2"/>
      <c r="L50" s="2"/>
    </row>
    <row r="51" spans="1:12" customFormat="1" hidden="1">
      <c r="A51" s="2" t="s">
        <v>119</v>
      </c>
      <c r="B51" s="2" t="s">
        <v>120</v>
      </c>
      <c r="C51" s="2" t="s">
        <v>21</v>
      </c>
      <c r="D51" s="2" t="str">
        <f>VLOOKUP($A51,[1]TOKO!$D$7:$R$594,12,)</f>
        <v>SGY</v>
      </c>
      <c r="E51" s="4" t="s">
        <v>222</v>
      </c>
      <c r="F51" s="2" t="s">
        <v>220</v>
      </c>
      <c r="G51" s="4" t="s">
        <v>47</v>
      </c>
      <c r="H51" s="2"/>
      <c r="I51" s="5">
        <v>13.528064516129</v>
      </c>
      <c r="J51" s="2"/>
      <c r="K51" s="2"/>
      <c r="L51" s="2"/>
    </row>
    <row r="52" spans="1:12" customFormat="1" hidden="1">
      <c r="A52" s="2" t="s">
        <v>133</v>
      </c>
      <c r="B52" s="2" t="s">
        <v>134</v>
      </c>
      <c r="C52" s="2" t="s">
        <v>19</v>
      </c>
      <c r="D52" s="2" t="str">
        <f>VLOOKUP($A52,[1]TOKO!$D$7:$R$594,12,)</f>
        <v>KHO</v>
      </c>
      <c r="E52" s="4" t="s">
        <v>222</v>
      </c>
      <c r="F52" s="2" t="s">
        <v>220</v>
      </c>
      <c r="G52" s="4" t="s">
        <v>47</v>
      </c>
      <c r="H52" s="2"/>
      <c r="I52" s="5">
        <v>13.7387338709677</v>
      </c>
      <c r="J52" s="2"/>
      <c r="K52" s="2"/>
      <c r="L52" s="2"/>
    </row>
    <row r="53" spans="1:12" customFormat="1" hidden="1">
      <c r="A53" s="2" t="s">
        <v>105</v>
      </c>
      <c r="B53" s="2" t="s">
        <v>106</v>
      </c>
      <c r="C53" s="2" t="s">
        <v>19</v>
      </c>
      <c r="D53" s="2" t="str">
        <f>VLOOKUP($A53,[1]TOKO!$D$7:$R$594,12,)</f>
        <v>KHO</v>
      </c>
      <c r="E53" s="4" t="s">
        <v>222</v>
      </c>
      <c r="F53" s="2" t="s">
        <v>220</v>
      </c>
      <c r="G53" s="4" t="s">
        <v>47</v>
      </c>
      <c r="H53" s="2"/>
      <c r="I53" s="5">
        <v>13.760548387096801</v>
      </c>
      <c r="J53" s="2"/>
      <c r="K53" s="2"/>
      <c r="L53" s="2"/>
    </row>
    <row r="54" spans="1:12" customFormat="1" hidden="1">
      <c r="A54" s="2" t="s">
        <v>147</v>
      </c>
      <c r="B54" s="2" t="s">
        <v>148</v>
      </c>
      <c r="C54" s="2" t="s">
        <v>21</v>
      </c>
      <c r="D54" s="2" t="str">
        <f>VLOOKUP($A54,[1]TOKO!$D$7:$R$594,12,)</f>
        <v>PJO</v>
      </c>
      <c r="E54" s="4" t="s">
        <v>222</v>
      </c>
      <c r="F54" s="2" t="s">
        <v>220</v>
      </c>
      <c r="G54" s="4" t="s">
        <v>47</v>
      </c>
      <c r="H54" s="2"/>
      <c r="I54" s="5">
        <v>14.094749999999999</v>
      </c>
      <c r="J54" s="2"/>
      <c r="K54" s="2"/>
      <c r="L54" s="2"/>
    </row>
    <row r="55" spans="1:12" hidden="1">
      <c r="A55" s="20" t="s">
        <v>77</v>
      </c>
      <c r="B55" s="20" t="s">
        <v>78</v>
      </c>
      <c r="C55" s="20" t="str">
        <f>VLOOKUP($A55,[2]TOKO!$D$7:$R$603,9,0)</f>
        <v>JLE</v>
      </c>
      <c r="D55" s="20" t="str">
        <f>VLOOKUP($A55,[2]TOKO!$D$7:$R$603,12,0)</f>
        <v>KHO</v>
      </c>
      <c r="E55" s="21" t="s">
        <v>222</v>
      </c>
      <c r="F55" s="20" t="s">
        <v>26</v>
      </c>
      <c r="G55" s="4" t="s">
        <v>47</v>
      </c>
      <c r="H55" s="20">
        <v>11</v>
      </c>
      <c r="I55" s="22">
        <v>16.838709677419399</v>
      </c>
      <c r="J55" s="2"/>
      <c r="K55" s="20">
        <f>IFERROR(VLOOKUP($A55,[3]Sheet1!$A$2:$C$87,3,90),0)</f>
        <v>0</v>
      </c>
      <c r="L55" s="7">
        <f>K55/I55*100</f>
        <v>0</v>
      </c>
    </row>
    <row r="56" spans="1:12">
      <c r="A56" s="20" t="s">
        <v>107</v>
      </c>
      <c r="B56" s="20" t="s">
        <v>108</v>
      </c>
      <c r="C56" s="20" t="str">
        <f>VLOOKUP($A56,[2]TOKO!$D$7:$R$603,9,0)</f>
        <v>RFK</v>
      </c>
      <c r="D56" s="20" t="str">
        <f>VLOOKUP($A56,[2]TOKO!$D$7:$R$603,12,0)</f>
        <v>RMB</v>
      </c>
      <c r="E56" s="21" t="s">
        <v>222</v>
      </c>
      <c r="F56" s="20" t="s">
        <v>26</v>
      </c>
      <c r="G56" s="4" t="s">
        <v>47</v>
      </c>
      <c r="H56" s="20">
        <v>12</v>
      </c>
      <c r="I56" s="22">
        <v>14.322580645161301</v>
      </c>
      <c r="J56" s="2"/>
      <c r="K56" s="20">
        <f>IFERROR(VLOOKUP($A56,[3]Sheet1!$A$2:$C$87,3,90),0)</f>
        <v>0</v>
      </c>
      <c r="L56" s="7">
        <f>K56/I56*100</f>
        <v>0</v>
      </c>
    </row>
    <row r="57" spans="1:12">
      <c r="A57" s="20" t="s">
        <v>173</v>
      </c>
      <c r="B57" s="20" t="s">
        <v>174</v>
      </c>
      <c r="C57" s="20" t="str">
        <f>VLOOKUP($A57,[2]TOKO!$D$7:$R$603,9,0)</f>
        <v>RFK</v>
      </c>
      <c r="D57" s="20" t="str">
        <f>VLOOKUP($A57,[2]TOKO!$D$7:$R$603,12,0)</f>
        <v>SGY</v>
      </c>
      <c r="E57" s="21" t="s">
        <v>222</v>
      </c>
      <c r="F57" s="20" t="s">
        <v>26</v>
      </c>
      <c r="G57" s="4" t="s">
        <v>47</v>
      </c>
      <c r="H57" s="20">
        <v>12</v>
      </c>
      <c r="I57" s="22">
        <v>14.6129032258065</v>
      </c>
      <c r="J57" s="2"/>
      <c r="K57" s="20">
        <f>IFERROR(VLOOKUP($A57,[3]Sheet1!$A$2:$C$87,3,90),0)</f>
        <v>0</v>
      </c>
      <c r="L57" s="7">
        <f>K57/I57*100</f>
        <v>0</v>
      </c>
    </row>
    <row r="58" spans="1:12" customFormat="1" hidden="1">
      <c r="A58" s="2" t="s">
        <v>194</v>
      </c>
      <c r="B58" s="2" t="s">
        <v>195</v>
      </c>
      <c r="C58" s="2" t="s">
        <v>19</v>
      </c>
      <c r="D58" s="2" t="str">
        <f>VLOOKUP($A58,[1]TOKO!$D$7:$R$594,12,)</f>
        <v>KHO</v>
      </c>
      <c r="E58" s="4" t="s">
        <v>222</v>
      </c>
      <c r="F58" s="2" t="s">
        <v>220</v>
      </c>
      <c r="G58" s="4" t="s">
        <v>47</v>
      </c>
      <c r="H58" s="2"/>
      <c r="I58" s="5">
        <v>14.603266129032299</v>
      </c>
      <c r="J58" s="2"/>
      <c r="K58" s="2"/>
      <c r="L58" s="2"/>
    </row>
    <row r="59" spans="1:12">
      <c r="A59" s="20" t="s">
        <v>73</v>
      </c>
      <c r="B59" s="20" t="s">
        <v>74</v>
      </c>
      <c r="C59" s="20" t="str">
        <f>VLOOKUP($A59,[2]TOKO!$D$7:$R$603,9,0)</f>
        <v>RFK</v>
      </c>
      <c r="D59" s="20" t="str">
        <f>VLOOKUP($A59,[2]TOKO!$D$7:$R$603,12,0)</f>
        <v>PJO</v>
      </c>
      <c r="E59" s="21" t="s">
        <v>222</v>
      </c>
      <c r="F59" s="20" t="s">
        <v>26</v>
      </c>
      <c r="G59" s="4" t="s">
        <v>47</v>
      </c>
      <c r="H59" s="20">
        <v>12</v>
      </c>
      <c r="I59" s="22">
        <v>16.354838709677399</v>
      </c>
      <c r="J59" s="2"/>
      <c r="K59" s="20">
        <f>IFERROR(VLOOKUP($A59,[3]Sheet1!$A$2:$C$87,3,90),0)</f>
        <v>0</v>
      </c>
      <c r="L59" s="7">
        <f>K59/I59*100</f>
        <v>0</v>
      </c>
    </row>
    <row r="60" spans="1:12" customFormat="1" hidden="1">
      <c r="A60" s="2" t="s">
        <v>155</v>
      </c>
      <c r="B60" s="2" t="s">
        <v>156</v>
      </c>
      <c r="C60" s="2" t="s">
        <v>21</v>
      </c>
      <c r="D60" s="2" t="str">
        <f>VLOOKUP($A60,[1]TOKO!$D$7:$R$594,12,)</f>
        <v>PJO</v>
      </c>
      <c r="E60" s="4" t="s">
        <v>222</v>
      </c>
      <c r="F60" s="2" t="s">
        <v>220</v>
      </c>
      <c r="G60" s="4" t="s">
        <v>47</v>
      </c>
      <c r="H60" s="2"/>
      <c r="I60" s="5">
        <v>14.726846774193501</v>
      </c>
      <c r="J60" s="2"/>
      <c r="K60" s="2"/>
      <c r="L60" s="2"/>
    </row>
    <row r="61" spans="1:12" hidden="1">
      <c r="A61" s="20" t="s">
        <v>93</v>
      </c>
      <c r="B61" s="20" t="s">
        <v>94</v>
      </c>
      <c r="C61" s="20" t="str">
        <f>VLOOKUP($A61,[2]TOKO!$D$7:$R$603,9,0)</f>
        <v>JLE</v>
      </c>
      <c r="D61" s="20" t="str">
        <f>VLOOKUP($A61,[2]TOKO!$D$7:$R$603,12,0)</f>
        <v>YRD</v>
      </c>
      <c r="E61" s="21" t="s">
        <v>222</v>
      </c>
      <c r="F61" s="20" t="s">
        <v>26</v>
      </c>
      <c r="G61" s="4" t="s">
        <v>47</v>
      </c>
      <c r="H61" s="20">
        <v>11</v>
      </c>
      <c r="I61" s="22">
        <v>34.258064516128997</v>
      </c>
      <c r="J61" s="2"/>
      <c r="K61" s="20">
        <f>IFERROR(VLOOKUP($A61,[3]Sheet1!$A$2:$C$87,3,90),0)</f>
        <v>0</v>
      </c>
      <c r="L61" s="7">
        <f>K61/I61*100</f>
        <v>0</v>
      </c>
    </row>
    <row r="62" spans="1:12">
      <c r="A62" s="20" t="s">
        <v>151</v>
      </c>
      <c r="B62" s="20" t="s">
        <v>152</v>
      </c>
      <c r="C62" s="20" t="str">
        <f>VLOOKUP($A62,[2]TOKO!$D$7:$R$603,9,0)</f>
        <v>RFK</v>
      </c>
      <c r="D62" s="20" t="str">
        <f>VLOOKUP($A62,[2]TOKO!$D$7:$R$603,12,0)</f>
        <v>INK</v>
      </c>
      <c r="E62" s="21" t="s">
        <v>222</v>
      </c>
      <c r="F62" s="20" t="s">
        <v>26</v>
      </c>
      <c r="G62" s="4" t="s">
        <v>47</v>
      </c>
      <c r="H62" s="20">
        <v>12</v>
      </c>
      <c r="I62" s="22">
        <v>19.451612903225801</v>
      </c>
      <c r="J62" s="2"/>
      <c r="K62" s="20">
        <f>IFERROR(VLOOKUP($A62,[3]Sheet1!$A$2:$C$87,3,90),0)</f>
        <v>0</v>
      </c>
      <c r="L62" s="7">
        <f>K62/I62*100</f>
        <v>0</v>
      </c>
    </row>
    <row r="63" spans="1:12" hidden="1">
      <c r="A63" s="20" t="s">
        <v>177</v>
      </c>
      <c r="B63" s="20" t="s">
        <v>178</v>
      </c>
      <c r="C63" s="20" t="str">
        <f>VLOOKUP($A63,[2]TOKO!$D$7:$R$603,9,0)</f>
        <v>JLE</v>
      </c>
      <c r="D63" s="20" t="str">
        <f>VLOOKUP($A63,[2]TOKO!$D$7:$R$603,12,0)</f>
        <v>KHO</v>
      </c>
      <c r="E63" s="21" t="s">
        <v>222</v>
      </c>
      <c r="F63" s="20" t="s">
        <v>26</v>
      </c>
      <c r="G63" s="4" t="s">
        <v>47</v>
      </c>
      <c r="H63" s="20">
        <v>11</v>
      </c>
      <c r="I63" s="22">
        <v>41.806451612903203</v>
      </c>
      <c r="J63" s="2"/>
      <c r="K63" s="20">
        <f>IFERROR(VLOOKUP($A63,[3]Sheet1!$A$2:$C$87,3,90),0)</f>
        <v>0</v>
      </c>
      <c r="L63" s="7">
        <f>K63/I63*100</f>
        <v>0</v>
      </c>
    </row>
    <row r="64" spans="1:12" customFormat="1" hidden="1">
      <c r="A64" s="2" t="s">
        <v>93</v>
      </c>
      <c r="B64" s="2" t="s">
        <v>94</v>
      </c>
      <c r="C64" s="2" t="s">
        <v>19</v>
      </c>
      <c r="D64" s="2" t="str">
        <f>VLOOKUP($A64,[1]TOKO!$D$7:$R$594,12,)</f>
        <v>YRD</v>
      </c>
      <c r="E64" s="4" t="s">
        <v>222</v>
      </c>
      <c r="F64" s="2" t="s">
        <v>220</v>
      </c>
      <c r="G64" s="4" t="s">
        <v>47</v>
      </c>
      <c r="H64" s="2"/>
      <c r="I64" s="5">
        <v>15.4398951612903</v>
      </c>
      <c r="J64" s="2"/>
      <c r="K64" s="2"/>
      <c r="L64" s="2"/>
    </row>
    <row r="65" spans="1:12" hidden="1">
      <c r="A65" s="20" t="s">
        <v>194</v>
      </c>
      <c r="B65" s="20" t="s">
        <v>195</v>
      </c>
      <c r="C65" s="20" t="str">
        <f>VLOOKUP($A65,[2]TOKO!$D$7:$R$603,9,0)</f>
        <v>JLE</v>
      </c>
      <c r="D65" s="20" t="str">
        <f>VLOOKUP($A65,[2]TOKO!$D$7:$R$603,12,0)</f>
        <v>KHO</v>
      </c>
      <c r="E65" s="21" t="s">
        <v>222</v>
      </c>
      <c r="F65" s="20" t="s">
        <v>26</v>
      </c>
      <c r="G65" s="4" t="s">
        <v>47</v>
      </c>
      <c r="H65" s="20">
        <v>11</v>
      </c>
      <c r="I65" s="22">
        <v>46.741935483871003</v>
      </c>
      <c r="J65" s="2"/>
      <c r="K65" s="20">
        <f>IFERROR(VLOOKUP($A65,[3]Sheet1!$A$2:$C$87,3,90),0)</f>
        <v>0</v>
      </c>
      <c r="L65" s="7">
        <f>K65/I65*100</f>
        <v>0</v>
      </c>
    </row>
    <row r="66" spans="1:12" hidden="1">
      <c r="A66" s="20" t="s">
        <v>202</v>
      </c>
      <c r="B66" s="20" t="s">
        <v>203</v>
      </c>
      <c r="C66" s="20" t="str">
        <f>VLOOKUP($A66,[2]TOKO!$D$7:$R$603,9,0)</f>
        <v>JLE</v>
      </c>
      <c r="D66" s="20" t="str">
        <f>VLOOKUP($A66,[2]TOKO!$D$7:$R$603,12,0)</f>
        <v>EGR</v>
      </c>
      <c r="E66" s="21" t="s">
        <v>223</v>
      </c>
      <c r="F66" s="20" t="s">
        <v>26</v>
      </c>
      <c r="G66" s="4" t="s">
        <v>47</v>
      </c>
      <c r="H66" s="20">
        <v>11</v>
      </c>
      <c r="I66" s="22">
        <v>79.064516129032299</v>
      </c>
      <c r="J66" s="2"/>
      <c r="K66" s="20">
        <f>IFERROR(VLOOKUP($A66,[3]Sheet1!$A$2:$C$87,3,90),0)</f>
        <v>0</v>
      </c>
      <c r="L66" s="7">
        <f>K66/I66*100</f>
        <v>0</v>
      </c>
    </row>
    <row r="67" spans="1:12" customFormat="1" hidden="1">
      <c r="A67" s="2" t="s">
        <v>125</v>
      </c>
      <c r="B67" s="2" t="s">
        <v>126</v>
      </c>
      <c r="C67" s="2" t="s">
        <v>21</v>
      </c>
      <c r="D67" s="2" t="str">
        <f>VLOOKUP($A67,[1]TOKO!$D$7:$R$594,12,)</f>
        <v>SGY</v>
      </c>
      <c r="E67" s="4" t="s">
        <v>222</v>
      </c>
      <c r="F67" s="2" t="s">
        <v>220</v>
      </c>
      <c r="G67" s="4" t="s">
        <v>47</v>
      </c>
      <c r="H67" s="2"/>
      <c r="I67" s="5">
        <v>16.004370967741899</v>
      </c>
      <c r="J67" s="2"/>
      <c r="K67" s="2"/>
      <c r="L67" s="2"/>
    </row>
    <row r="68" spans="1:12" hidden="1">
      <c r="A68" s="20" t="s">
        <v>188</v>
      </c>
      <c r="B68" s="20" t="s">
        <v>189</v>
      </c>
      <c r="C68" s="20" t="str">
        <f>VLOOKUP($A68,[2]TOKO!$D$7:$R$603,9,0)</f>
        <v>JLE</v>
      </c>
      <c r="D68" s="20" t="str">
        <f>VLOOKUP($A68,[2]TOKO!$D$7:$R$603,12,0)</f>
        <v>EGR</v>
      </c>
      <c r="E68" s="21" t="s">
        <v>223</v>
      </c>
      <c r="F68" s="20" t="s">
        <v>26</v>
      </c>
      <c r="G68" s="4" t="s">
        <v>47</v>
      </c>
      <c r="H68" s="20">
        <v>11</v>
      </c>
      <c r="I68" s="22">
        <v>99.870967741935502</v>
      </c>
      <c r="J68" s="2"/>
      <c r="K68" s="20">
        <f>IFERROR(VLOOKUP($A68,[3]Sheet1!$A$2:$C$87,3,90),0)</f>
        <v>0</v>
      </c>
      <c r="L68" s="7">
        <f>K68/I68*100</f>
        <v>0</v>
      </c>
    </row>
    <row r="69" spans="1:12" hidden="1">
      <c r="A69" s="20" t="s">
        <v>91</v>
      </c>
      <c r="B69" s="20" t="s">
        <v>92</v>
      </c>
      <c r="C69" s="20" t="str">
        <f>VLOOKUP($A69,[2]TOKO!$D$7:$R$603,9,0)</f>
        <v>JLE</v>
      </c>
      <c r="D69" s="20" t="str">
        <f>VLOOKUP($A69,[2]TOKO!$D$7:$R$603,12,0)</f>
        <v>YRD</v>
      </c>
      <c r="E69" s="21" t="s">
        <v>222</v>
      </c>
      <c r="F69" s="20" t="s">
        <v>26</v>
      </c>
      <c r="G69" s="4" t="s">
        <v>47</v>
      </c>
      <c r="H69" s="20">
        <v>11</v>
      </c>
      <c r="I69" s="22">
        <v>26.5161290322581</v>
      </c>
      <c r="J69" s="2"/>
      <c r="K69" s="20">
        <f>IFERROR(VLOOKUP($A69,[3]Sheet1!$A$2:$C$87,3,90),0)</f>
        <v>0</v>
      </c>
      <c r="L69" s="7">
        <f>K69/I69*100</f>
        <v>0</v>
      </c>
    </row>
    <row r="70" spans="1:12" customFormat="1" hidden="1">
      <c r="A70" s="2" t="s">
        <v>167</v>
      </c>
      <c r="B70" s="2" t="s">
        <v>168</v>
      </c>
      <c r="C70" s="2" t="s">
        <v>21</v>
      </c>
      <c r="D70" s="2" t="str">
        <f>VLOOKUP($A70,[1]TOKO!$D$7:$R$594,12,)</f>
        <v>INK</v>
      </c>
      <c r="E70" s="4" t="s">
        <v>222</v>
      </c>
      <c r="F70" s="2" t="s">
        <v>220</v>
      </c>
      <c r="G70" s="4" t="s">
        <v>47</v>
      </c>
      <c r="H70" s="2"/>
      <c r="I70" s="5">
        <v>17.618443548387098</v>
      </c>
      <c r="J70" s="2"/>
      <c r="K70" s="2"/>
      <c r="L70" s="2"/>
    </row>
    <row r="71" spans="1:12" customFormat="1" hidden="1">
      <c r="A71" s="2" t="s">
        <v>177</v>
      </c>
      <c r="B71" s="2" t="s">
        <v>178</v>
      </c>
      <c r="C71" s="2" t="s">
        <v>19</v>
      </c>
      <c r="D71" s="2" t="str">
        <f>VLOOKUP($A71,[1]TOKO!$D$7:$R$594,12,)</f>
        <v>KHO</v>
      </c>
      <c r="E71" s="4" t="s">
        <v>222</v>
      </c>
      <c r="F71" s="2" t="s">
        <v>220</v>
      </c>
      <c r="G71" s="4" t="s">
        <v>47</v>
      </c>
      <c r="H71" s="2"/>
      <c r="I71" s="5">
        <v>17.967145161290301</v>
      </c>
      <c r="J71" s="2"/>
      <c r="K71" s="2"/>
      <c r="L71" s="2"/>
    </row>
    <row r="72" spans="1:12" customFormat="1" hidden="1">
      <c r="A72" s="2" t="s">
        <v>127</v>
      </c>
      <c r="B72" s="2" t="s">
        <v>128</v>
      </c>
      <c r="C72" s="2" t="s">
        <v>21</v>
      </c>
      <c r="D72" s="2" t="str">
        <f>VLOOKUP($A72,[1]TOKO!$D$7:$R$594,12,)</f>
        <v>SGY</v>
      </c>
      <c r="E72" s="4" t="s">
        <v>222</v>
      </c>
      <c r="F72" s="2" t="s">
        <v>220</v>
      </c>
      <c r="G72" s="4" t="s">
        <v>50</v>
      </c>
      <c r="H72" s="2"/>
      <c r="I72" s="5">
        <v>18.1598467741936</v>
      </c>
      <c r="J72" s="2"/>
      <c r="K72" s="2"/>
      <c r="L72" s="2"/>
    </row>
    <row r="73" spans="1:12" customFormat="1" hidden="1">
      <c r="A73" s="2" t="s">
        <v>123</v>
      </c>
      <c r="B73" s="2" t="s">
        <v>124</v>
      </c>
      <c r="C73" s="2" t="s">
        <v>21</v>
      </c>
      <c r="D73" s="2" t="str">
        <f>VLOOKUP($A73,[1]TOKO!$D$7:$R$594,12,)</f>
        <v>RMB</v>
      </c>
      <c r="E73" s="4" t="s">
        <v>222</v>
      </c>
      <c r="F73" s="2" t="s">
        <v>220</v>
      </c>
      <c r="G73" s="4" t="s">
        <v>47</v>
      </c>
      <c r="H73" s="2"/>
      <c r="I73" s="5">
        <v>18.235991935483899</v>
      </c>
      <c r="J73" s="2"/>
      <c r="K73" s="2"/>
      <c r="L73" s="2"/>
    </row>
    <row r="74" spans="1:12" hidden="1">
      <c r="A74" s="20" t="s">
        <v>71</v>
      </c>
      <c r="B74" s="20" t="s">
        <v>72</v>
      </c>
      <c r="C74" s="20" t="str">
        <f>VLOOKUP($A74,[2]TOKO!$D$7:$R$603,9,0)</f>
        <v>JLE</v>
      </c>
      <c r="D74" s="20" t="str">
        <f>VLOOKUP($A74,[2]TOKO!$D$7:$R$603,12,0)</f>
        <v>KHO</v>
      </c>
      <c r="E74" s="21" t="s">
        <v>222</v>
      </c>
      <c r="F74" s="20" t="s">
        <v>26</v>
      </c>
      <c r="G74" s="4" t="s">
        <v>47</v>
      </c>
      <c r="H74" s="20">
        <v>11</v>
      </c>
      <c r="I74" s="22">
        <v>36.580645161290299</v>
      </c>
      <c r="J74" s="2"/>
      <c r="K74" s="20">
        <f>IFERROR(VLOOKUP($A74,[3]Sheet1!$A$2:$C$87,3,90),0)</f>
        <v>0</v>
      </c>
      <c r="L74" s="7">
        <f>K74/I74*100</f>
        <v>0</v>
      </c>
    </row>
    <row r="75" spans="1:12" customFormat="1" hidden="1">
      <c r="A75" s="2" t="s">
        <v>206</v>
      </c>
      <c r="B75" s="2" t="s">
        <v>207</v>
      </c>
      <c r="C75" s="2" t="s">
        <v>19</v>
      </c>
      <c r="D75" s="2" t="str">
        <f>VLOOKUP($A75,[1]TOKO!$D$7:$R$594,12,)</f>
        <v>KHO</v>
      </c>
      <c r="E75" s="4" t="s">
        <v>222</v>
      </c>
      <c r="F75" s="2" t="s">
        <v>220</v>
      </c>
      <c r="G75" s="4" t="s">
        <v>47</v>
      </c>
      <c r="H75" s="2"/>
      <c r="I75" s="5">
        <v>19.582112903225799</v>
      </c>
      <c r="J75" s="2"/>
      <c r="K75" s="2"/>
      <c r="L75" s="2"/>
    </row>
    <row r="76" spans="1:12" hidden="1">
      <c r="A76" s="20" t="s">
        <v>67</v>
      </c>
      <c r="B76" s="20" t="s">
        <v>68</v>
      </c>
      <c r="C76" s="20" t="str">
        <f>VLOOKUP($A76,[2]TOKO!$D$7:$R$603,9,0)</f>
        <v>JLE</v>
      </c>
      <c r="D76" s="20" t="str">
        <f>VLOOKUP($A76,[2]TOKO!$D$7:$R$603,12,0)</f>
        <v>YRD</v>
      </c>
      <c r="E76" s="21" t="s">
        <v>222</v>
      </c>
      <c r="F76" s="20" t="s">
        <v>26</v>
      </c>
      <c r="G76" s="4" t="s">
        <v>47</v>
      </c>
      <c r="H76" s="20">
        <v>11</v>
      </c>
      <c r="I76" s="22">
        <v>15</v>
      </c>
      <c r="J76" s="2"/>
      <c r="K76" s="20">
        <f>IFERROR(VLOOKUP($A76,[3]Sheet1!$A$2:$C$87,3,90),0)</f>
        <v>0</v>
      </c>
      <c r="L76" s="7">
        <f>K76/I76*100</f>
        <v>0</v>
      </c>
    </row>
    <row r="77" spans="1:12" customFormat="1" hidden="1">
      <c r="A77" s="2" t="s">
        <v>153</v>
      </c>
      <c r="B77" s="2" t="s">
        <v>154</v>
      </c>
      <c r="C77" s="2" t="s">
        <v>19</v>
      </c>
      <c r="D77" s="2" t="str">
        <f>VLOOKUP($A77,[1]TOKO!$D$7:$R$594,12,)</f>
        <v>KHO</v>
      </c>
      <c r="E77" s="4" t="s">
        <v>222</v>
      </c>
      <c r="F77" s="2" t="s">
        <v>220</v>
      </c>
      <c r="G77" s="4" t="s">
        <v>47</v>
      </c>
      <c r="H77" s="2"/>
      <c r="I77" s="5">
        <v>20.393798387096801</v>
      </c>
      <c r="J77" s="2"/>
      <c r="K77" s="2"/>
      <c r="L77" s="2"/>
    </row>
    <row r="78" spans="1:12" customFormat="1" hidden="1">
      <c r="A78" s="2" t="s">
        <v>192</v>
      </c>
      <c r="B78" s="2" t="s">
        <v>193</v>
      </c>
      <c r="C78" s="2" t="s">
        <v>21</v>
      </c>
      <c r="D78" s="2" t="str">
        <f>VLOOKUP($A78,[1]TOKO!$D$7:$R$594,12,)</f>
        <v>RMB</v>
      </c>
      <c r="E78" s="4" t="s">
        <v>222</v>
      </c>
      <c r="F78" s="2" t="s">
        <v>220</v>
      </c>
      <c r="G78" s="4" t="s">
        <v>47</v>
      </c>
      <c r="H78" s="2"/>
      <c r="I78" s="5">
        <v>20.611774193548399</v>
      </c>
      <c r="J78" s="2"/>
      <c r="K78" s="2"/>
      <c r="L78" s="2"/>
    </row>
    <row r="79" spans="1:12">
      <c r="A79" s="20" t="s">
        <v>45</v>
      </c>
      <c r="B79" s="20" t="s">
        <v>46</v>
      </c>
      <c r="C79" s="20" t="str">
        <f>VLOOKUP($A79,[2]TOKO!$D$7:$R$603,9,0)</f>
        <v>RFK</v>
      </c>
      <c r="D79" s="20" t="str">
        <f>VLOOKUP($A79,[2]TOKO!$D$7:$R$603,12,0)</f>
        <v>RMB</v>
      </c>
      <c r="E79" s="21" t="s">
        <v>222</v>
      </c>
      <c r="F79" s="20" t="s">
        <v>26</v>
      </c>
      <c r="G79" s="4" t="s">
        <v>47</v>
      </c>
      <c r="H79" s="20">
        <v>12</v>
      </c>
      <c r="I79" s="22">
        <v>20.612903225806502</v>
      </c>
      <c r="J79" s="2"/>
      <c r="K79" s="20">
        <f>IFERROR(VLOOKUP($A79,[3]Sheet1!$A$2:$C$87,3,90),0)</f>
        <v>0</v>
      </c>
      <c r="L79" s="7">
        <f>K79/I79*100</f>
        <v>0</v>
      </c>
    </row>
    <row r="80" spans="1:12" hidden="1">
      <c r="A80" s="20" t="s">
        <v>161</v>
      </c>
      <c r="B80" s="20" t="s">
        <v>162</v>
      </c>
      <c r="C80" s="20" t="str">
        <f>VLOOKUP($A80,[2]TOKO!$D$7:$R$603,9,0)</f>
        <v>JLE</v>
      </c>
      <c r="D80" s="20" t="str">
        <f>VLOOKUP($A80,[2]TOKO!$D$7:$R$603,12,0)</f>
        <v>EGR</v>
      </c>
      <c r="E80" s="21" t="s">
        <v>223</v>
      </c>
      <c r="F80" s="20" t="s">
        <v>26</v>
      </c>
      <c r="G80" s="4" t="s">
        <v>47</v>
      </c>
      <c r="H80" s="20">
        <v>11</v>
      </c>
      <c r="I80" s="22">
        <v>83.322580645161295</v>
      </c>
      <c r="J80" s="2"/>
      <c r="K80" s="20">
        <f>IFERROR(VLOOKUP($A80,[3]Sheet1!$A$2:$C$87,3,90),0)</f>
        <v>0</v>
      </c>
      <c r="L80" s="7">
        <f>K80/I80*100</f>
        <v>0</v>
      </c>
    </row>
    <row r="81" spans="1:12">
      <c r="A81" s="20" t="s">
        <v>115</v>
      </c>
      <c r="B81" s="20" t="s">
        <v>116</v>
      </c>
      <c r="C81" s="20" t="str">
        <f>VLOOKUP($A81,[2]TOKO!$D$7:$R$603,9,0)</f>
        <v>RFK</v>
      </c>
      <c r="D81" s="20" t="str">
        <f>VLOOKUP($A81,[2]TOKO!$D$7:$R$603,12,0)</f>
        <v>RMB</v>
      </c>
      <c r="E81" s="21" t="s">
        <v>222</v>
      </c>
      <c r="F81" s="20" t="s">
        <v>26</v>
      </c>
      <c r="G81" s="4" t="s">
        <v>47</v>
      </c>
      <c r="H81" s="20">
        <v>12</v>
      </c>
      <c r="I81" s="22">
        <v>34.741935483871003</v>
      </c>
      <c r="J81" s="2"/>
      <c r="K81" s="20">
        <f>IFERROR(VLOOKUP($A81,[3]Sheet1!$A$2:$C$87,3,90),0)</f>
        <v>0</v>
      </c>
      <c r="L81" s="7">
        <f>K81/I81*100</f>
        <v>0</v>
      </c>
    </row>
    <row r="82" spans="1:12" customFormat="1" hidden="1">
      <c r="A82" s="2" t="s">
        <v>149</v>
      </c>
      <c r="B82" s="2" t="s">
        <v>150</v>
      </c>
      <c r="C82" s="2" t="s">
        <v>19</v>
      </c>
      <c r="D82" s="2" t="str">
        <f>VLOOKUP($A82,[1]TOKO!$D$7:$R$594,12,)</f>
        <v>KHO</v>
      </c>
      <c r="E82" s="4" t="s">
        <v>222</v>
      </c>
      <c r="F82" s="2" t="s">
        <v>220</v>
      </c>
      <c r="G82" s="4" t="s">
        <v>47</v>
      </c>
      <c r="H82" s="2"/>
      <c r="I82" s="5">
        <v>21.977612903225801</v>
      </c>
      <c r="J82" s="2"/>
      <c r="K82" s="2"/>
      <c r="L82" s="2"/>
    </row>
    <row r="83" spans="1:12" hidden="1">
      <c r="A83" s="20" t="s">
        <v>210</v>
      </c>
      <c r="B83" s="20" t="s">
        <v>211</v>
      </c>
      <c r="C83" s="20" t="str">
        <f>VLOOKUP($A83,[2]TOKO!$D$7:$R$603,9,0)</f>
        <v>JLE</v>
      </c>
      <c r="D83" s="20" t="str">
        <f>VLOOKUP($A83,[2]TOKO!$D$7:$R$603,12,0)</f>
        <v>MBN</v>
      </c>
      <c r="E83" s="21" t="s">
        <v>223</v>
      </c>
      <c r="F83" s="20" t="s">
        <v>26</v>
      </c>
      <c r="G83" s="4" t="s">
        <v>47</v>
      </c>
      <c r="H83" s="20">
        <v>11</v>
      </c>
      <c r="I83" s="22">
        <v>147.870967741935</v>
      </c>
      <c r="J83" s="2"/>
      <c r="K83" s="20">
        <f>IFERROR(VLOOKUP($A83,[3]Sheet1!$A$2:$C$87,3,90),0)</f>
        <v>0</v>
      </c>
      <c r="L83" s="7">
        <f>K83/I83*100</f>
        <v>0</v>
      </c>
    </row>
    <row r="84" spans="1:12">
      <c r="A84" s="20" t="s">
        <v>135</v>
      </c>
      <c r="B84" s="20" t="s">
        <v>136</v>
      </c>
      <c r="C84" s="20" t="str">
        <f>VLOOKUP($A84,[2]TOKO!$D$7:$R$603,9,0)</f>
        <v>RFK</v>
      </c>
      <c r="D84" s="20" t="str">
        <f>VLOOKUP($A84,[2]TOKO!$D$7:$R$603,12,0)</f>
        <v>RMB</v>
      </c>
      <c r="E84" s="21" t="s">
        <v>222</v>
      </c>
      <c r="F84" s="20" t="s">
        <v>26</v>
      </c>
      <c r="G84" s="4" t="s">
        <v>47</v>
      </c>
      <c r="H84" s="20">
        <v>12</v>
      </c>
      <c r="I84" s="22">
        <v>44.225806451612897</v>
      </c>
      <c r="J84" s="2"/>
      <c r="K84" s="20">
        <f>IFERROR(VLOOKUP($A84,[3]Sheet1!$A$2:$C$87,3,90),0)</f>
        <v>0</v>
      </c>
      <c r="L84" s="7">
        <f>K84/I84*100</f>
        <v>0</v>
      </c>
    </row>
    <row r="85" spans="1:12" customFormat="1" hidden="1">
      <c r="A85" s="2" t="s">
        <v>169</v>
      </c>
      <c r="B85" s="2" t="s">
        <v>170</v>
      </c>
      <c r="C85" s="2" t="s">
        <v>21</v>
      </c>
      <c r="D85" s="2" t="str">
        <f>VLOOKUP($A85,[1]TOKO!$D$7:$R$594,12,)</f>
        <v>PJO</v>
      </c>
      <c r="E85" s="4" t="s">
        <v>222</v>
      </c>
      <c r="F85" s="2" t="s">
        <v>220</v>
      </c>
      <c r="G85" s="4" t="s">
        <v>47</v>
      </c>
      <c r="H85" s="2"/>
      <c r="I85" s="5">
        <v>23.772153225806498</v>
      </c>
      <c r="J85" s="2"/>
      <c r="K85" s="2"/>
      <c r="L85" s="2"/>
    </row>
    <row r="86" spans="1:12" customFormat="1" hidden="1">
      <c r="A86" s="2" t="s">
        <v>181</v>
      </c>
      <c r="B86" s="2" t="s">
        <v>182</v>
      </c>
      <c r="C86" s="2" t="s">
        <v>21</v>
      </c>
      <c r="D86" s="2" t="str">
        <f>VLOOKUP($A86,[1]TOKO!$D$7:$R$594,12,)</f>
        <v>PJO</v>
      </c>
      <c r="E86" s="4" t="s">
        <v>222</v>
      </c>
      <c r="F86" s="2" t="s">
        <v>220</v>
      </c>
      <c r="G86" s="4" t="s">
        <v>47</v>
      </c>
      <c r="H86" s="2"/>
      <c r="I86" s="5">
        <v>25.813790322580601</v>
      </c>
      <c r="J86" s="2"/>
      <c r="K86" s="2"/>
      <c r="L86" s="2"/>
    </row>
    <row r="87" spans="1:12">
      <c r="A87" s="20" t="s">
        <v>123</v>
      </c>
      <c r="B87" s="20" t="s">
        <v>124</v>
      </c>
      <c r="C87" s="20" t="str">
        <f>VLOOKUP($A87,[2]TOKO!$D$7:$R$603,9,0)</f>
        <v>RFK</v>
      </c>
      <c r="D87" s="20" t="str">
        <f>VLOOKUP($A87,[2]TOKO!$D$7:$R$603,12,0)</f>
        <v>RMB</v>
      </c>
      <c r="E87" s="21" t="s">
        <v>222</v>
      </c>
      <c r="F87" s="20" t="s">
        <v>26</v>
      </c>
      <c r="G87" s="4" t="s">
        <v>47</v>
      </c>
      <c r="H87" s="20">
        <v>12</v>
      </c>
      <c r="I87" s="22">
        <v>47.225806451612897</v>
      </c>
      <c r="J87" s="2"/>
      <c r="K87" s="20">
        <f>IFERROR(VLOOKUP($A87,[3]Sheet1!$A$2:$C$87,3,90),0)</f>
        <v>0</v>
      </c>
      <c r="L87" s="7">
        <f>K87/I87*100</f>
        <v>0</v>
      </c>
    </row>
    <row r="88" spans="1:12" customFormat="1" hidden="1">
      <c r="A88" s="2" t="s">
        <v>163</v>
      </c>
      <c r="B88" s="2" t="s">
        <v>164</v>
      </c>
      <c r="C88" s="2" t="s">
        <v>21</v>
      </c>
      <c r="D88" s="2" t="str">
        <f>VLOOKUP($A88,[1]TOKO!$D$7:$R$594,12,)</f>
        <v>INK</v>
      </c>
      <c r="E88" s="4" t="s">
        <v>222</v>
      </c>
      <c r="F88" s="2" t="s">
        <v>220</v>
      </c>
      <c r="G88" s="4" t="s">
        <v>47</v>
      </c>
      <c r="H88" s="2"/>
      <c r="I88" s="5">
        <v>25.843129032258101</v>
      </c>
      <c r="J88" s="2"/>
      <c r="K88" s="2"/>
      <c r="L88" s="2"/>
    </row>
    <row r="89" spans="1:12" customFormat="1" hidden="1">
      <c r="A89" s="2" t="s">
        <v>131</v>
      </c>
      <c r="B89" s="2" t="s">
        <v>132</v>
      </c>
      <c r="C89" s="2" t="s">
        <v>19</v>
      </c>
      <c r="D89" s="2" t="str">
        <f>VLOOKUP($A89,[1]TOKO!$D$7:$R$594,12,)</f>
        <v>YRD</v>
      </c>
      <c r="E89" s="4" t="s">
        <v>222</v>
      </c>
      <c r="F89" s="2" t="s">
        <v>220</v>
      </c>
      <c r="G89" s="4" t="s">
        <v>47</v>
      </c>
      <c r="H89" s="2"/>
      <c r="I89" s="5">
        <v>26.3929516129032</v>
      </c>
      <c r="J89" s="2"/>
      <c r="K89" s="2"/>
      <c r="L89" s="2"/>
    </row>
    <row r="90" spans="1:12" hidden="1">
      <c r="A90" s="20" t="s">
        <v>137</v>
      </c>
      <c r="B90" s="20" t="s">
        <v>138</v>
      </c>
      <c r="C90" s="20" t="str">
        <f>VLOOKUP($A90,[2]TOKO!$D$7:$R$603,9,0)</f>
        <v>JLE</v>
      </c>
      <c r="D90" s="20" t="str">
        <f>VLOOKUP($A90,[2]TOKO!$D$7:$R$603,12,0)</f>
        <v>YRD</v>
      </c>
      <c r="E90" s="21" t="s">
        <v>222</v>
      </c>
      <c r="F90" s="20" t="s">
        <v>26</v>
      </c>
      <c r="G90" s="4" t="s">
        <v>47</v>
      </c>
      <c r="H90" s="20">
        <v>11</v>
      </c>
      <c r="I90" s="22">
        <v>29.419354838709701</v>
      </c>
      <c r="J90" s="2"/>
      <c r="K90" s="20">
        <f>IFERROR(VLOOKUP($A90,[3]Sheet1!$A$2:$C$87,3,90),0)</f>
        <v>1</v>
      </c>
      <c r="L90" s="7">
        <f>K90/I90*100</f>
        <v>3.3991228070175414</v>
      </c>
    </row>
    <row r="91" spans="1:12" hidden="1">
      <c r="A91" s="20" t="s">
        <v>212</v>
      </c>
      <c r="B91" s="20" t="s">
        <v>213</v>
      </c>
      <c r="C91" s="20" t="str">
        <f>VLOOKUP($A91,[2]TOKO!$D$7:$R$603,9,0)</f>
        <v>JLE</v>
      </c>
      <c r="D91" s="20" t="str">
        <f>VLOOKUP($A91,[2]TOKO!$D$7:$R$603,12,0)</f>
        <v>MBN</v>
      </c>
      <c r="E91" s="21" t="s">
        <v>223</v>
      </c>
      <c r="F91" s="20" t="s">
        <v>26</v>
      </c>
      <c r="G91" s="4" t="s">
        <v>47</v>
      </c>
      <c r="H91" s="20">
        <v>11</v>
      </c>
      <c r="I91" s="22">
        <v>178.54838709677401</v>
      </c>
      <c r="J91" s="2"/>
      <c r="K91" s="20">
        <f>IFERROR(VLOOKUP($A91,[3]Sheet1!$A$2:$C$87,3,90),0)</f>
        <v>1</v>
      </c>
      <c r="L91" s="7">
        <f>K91/I91*100</f>
        <v>0.56007226738934113</v>
      </c>
    </row>
    <row r="92" spans="1:12">
      <c r="A92" s="20" t="s">
        <v>63</v>
      </c>
      <c r="B92" s="20" t="s">
        <v>64</v>
      </c>
      <c r="C92" s="20" t="str">
        <f>VLOOKUP($A92,[2]TOKO!$D$7:$R$603,9,0)</f>
        <v>RFK</v>
      </c>
      <c r="D92" s="20" t="str">
        <f>VLOOKUP($A92,[2]TOKO!$D$7:$R$603,12,0)</f>
        <v>SGY</v>
      </c>
      <c r="E92" s="21" t="s">
        <v>222</v>
      </c>
      <c r="F92" s="20" t="s">
        <v>26</v>
      </c>
      <c r="G92" s="4" t="s">
        <v>47</v>
      </c>
      <c r="H92" s="20">
        <v>12</v>
      </c>
      <c r="I92" s="22">
        <v>20.903225806451601</v>
      </c>
      <c r="J92" s="2"/>
      <c r="K92" s="20">
        <f>IFERROR(VLOOKUP($A92,[3]Sheet1!$A$2:$C$87,3,90),0)</f>
        <v>0</v>
      </c>
      <c r="L92" s="7">
        <f>K92/I92*100</f>
        <v>0</v>
      </c>
    </row>
    <row r="93" spans="1:12">
      <c r="A93" s="20" t="s">
        <v>121</v>
      </c>
      <c r="B93" s="20" t="s">
        <v>122</v>
      </c>
      <c r="C93" s="20" t="str">
        <f>VLOOKUP($A93,[2]TOKO!$D$7:$R$603,9,0)</f>
        <v>RFK</v>
      </c>
      <c r="D93" s="20" t="str">
        <f>VLOOKUP($A93,[2]TOKO!$D$7:$R$603,12,0)</f>
        <v>SGY</v>
      </c>
      <c r="E93" s="21" t="s">
        <v>222</v>
      </c>
      <c r="F93" s="20" t="s">
        <v>26</v>
      </c>
      <c r="G93" s="4" t="s">
        <v>47</v>
      </c>
      <c r="H93" s="20">
        <v>12</v>
      </c>
      <c r="I93" s="22">
        <v>23.612903225806502</v>
      </c>
      <c r="J93" s="2"/>
      <c r="K93" s="20">
        <f>IFERROR(VLOOKUP($A93,[3]Sheet1!$A$2:$C$87,3,90),0)</f>
        <v>0</v>
      </c>
      <c r="L93" s="7">
        <f>K93/I93*100</f>
        <v>0</v>
      </c>
    </row>
    <row r="94" spans="1:12">
      <c r="A94" s="20" t="s">
        <v>109</v>
      </c>
      <c r="B94" s="20" t="s">
        <v>110</v>
      </c>
      <c r="C94" s="20" t="str">
        <f>VLOOKUP($A94,[2]TOKO!$D$7:$R$603,9,0)</f>
        <v>RFK</v>
      </c>
      <c r="D94" s="20" t="str">
        <f>VLOOKUP($A94,[2]TOKO!$D$7:$R$603,12,0)</f>
        <v>PJO</v>
      </c>
      <c r="E94" s="21" t="s">
        <v>222</v>
      </c>
      <c r="F94" s="20" t="s">
        <v>26</v>
      </c>
      <c r="G94" s="4" t="s">
        <v>47</v>
      </c>
      <c r="H94" s="20">
        <v>12</v>
      </c>
      <c r="I94" s="22">
        <v>27.096774193548399</v>
      </c>
      <c r="J94" s="2"/>
      <c r="K94" s="20">
        <f>IFERROR(VLOOKUP($A94,[3]Sheet1!$A$2:$C$87,3,90),0)</f>
        <v>0</v>
      </c>
      <c r="L94" s="7">
        <f>K94/I94*100</f>
        <v>0</v>
      </c>
    </row>
    <row r="95" spans="1:12" customFormat="1" hidden="1">
      <c r="A95" s="2" t="s">
        <v>198</v>
      </c>
      <c r="B95" s="2" t="s">
        <v>199</v>
      </c>
      <c r="C95" s="2" t="s">
        <v>21</v>
      </c>
      <c r="D95" s="2" t="str">
        <f>VLOOKUP($A95,[1]TOKO!$D$7:$R$594,12,)</f>
        <v>RMB</v>
      </c>
      <c r="E95" s="4" t="s">
        <v>222</v>
      </c>
      <c r="F95" s="2" t="s">
        <v>220</v>
      </c>
      <c r="G95" s="4" t="s">
        <v>47</v>
      </c>
      <c r="H95" s="2"/>
      <c r="I95" s="5">
        <v>28.379798387096798</v>
      </c>
      <c r="J95" s="2"/>
      <c r="K95" s="2"/>
      <c r="L95" s="2"/>
    </row>
    <row r="96" spans="1:12">
      <c r="A96" s="20" t="s">
        <v>143</v>
      </c>
      <c r="B96" s="20" t="s">
        <v>144</v>
      </c>
      <c r="C96" s="20" t="str">
        <f>VLOOKUP($A96,[2]TOKO!$D$7:$R$603,9,0)</f>
        <v>RFK</v>
      </c>
      <c r="D96" s="20" t="str">
        <f>VLOOKUP($A96,[2]TOKO!$D$7:$R$603,12,0)</f>
        <v>PJO</v>
      </c>
      <c r="E96" s="21" t="s">
        <v>222</v>
      </c>
      <c r="F96" s="20" t="s">
        <v>26</v>
      </c>
      <c r="G96" s="4" t="s">
        <v>47</v>
      </c>
      <c r="H96" s="20">
        <v>12</v>
      </c>
      <c r="I96" s="22">
        <v>27.387096774193498</v>
      </c>
      <c r="J96" s="2"/>
      <c r="K96" s="20">
        <f>IFERROR(VLOOKUP($A96,[3]Sheet1!$A$2:$C$87,3,90),0)</f>
        <v>0</v>
      </c>
      <c r="L96" s="7">
        <f>K96/I96*100</f>
        <v>0</v>
      </c>
    </row>
    <row r="97" spans="1:12" customFormat="1" hidden="1">
      <c r="A97" s="2" t="s">
        <v>161</v>
      </c>
      <c r="B97" s="2" t="s">
        <v>162</v>
      </c>
      <c r="C97" s="2" t="s">
        <v>19</v>
      </c>
      <c r="D97" s="2" t="str">
        <f>VLOOKUP($A97,[1]TOKO!$D$7:$R$594,12,)</f>
        <v>EGR</v>
      </c>
      <c r="E97" s="4" t="s">
        <v>223</v>
      </c>
      <c r="F97" s="2" t="s">
        <v>220</v>
      </c>
      <c r="G97" s="4" t="s">
        <v>47</v>
      </c>
      <c r="H97" s="2"/>
      <c r="I97" s="5">
        <v>29.014104838709699</v>
      </c>
      <c r="J97" s="2"/>
      <c r="K97" s="2"/>
      <c r="L97" s="2"/>
    </row>
    <row r="98" spans="1:12" hidden="1">
      <c r="A98" s="20" t="s">
        <v>216</v>
      </c>
      <c r="B98" s="20" t="s">
        <v>217</v>
      </c>
      <c r="C98" s="20" t="str">
        <f>VLOOKUP($A98,[2]TOKO!$D$7:$R$603,9,0)</f>
        <v>JLE</v>
      </c>
      <c r="D98" s="20" t="str">
        <f>VLOOKUP($A98,[2]TOKO!$D$7:$R$603,12,0)</f>
        <v>MBN</v>
      </c>
      <c r="E98" s="21" t="s">
        <v>223</v>
      </c>
      <c r="F98" s="20" t="s">
        <v>26</v>
      </c>
      <c r="G98" s="4" t="s">
        <v>47</v>
      </c>
      <c r="H98" s="20">
        <v>11</v>
      </c>
      <c r="I98" s="22">
        <v>149.61290322580601</v>
      </c>
      <c r="J98" s="2"/>
      <c r="K98" s="20">
        <f>IFERROR(VLOOKUP($A98,[3]Sheet1!$A$2:$C$87,3,90),0)</f>
        <v>1</v>
      </c>
      <c r="L98" s="7">
        <f>K98/I98*100</f>
        <v>0.66839154808107148</v>
      </c>
    </row>
    <row r="99" spans="1:12" hidden="1">
      <c r="A99" s="20" t="s">
        <v>179</v>
      </c>
      <c r="B99" s="20" t="s">
        <v>180</v>
      </c>
      <c r="C99" s="20" t="str">
        <f>VLOOKUP($A99,[2]TOKO!$D$7:$R$603,9,0)</f>
        <v>JLE</v>
      </c>
      <c r="D99" s="20" t="str">
        <f>VLOOKUP($A99,[2]TOKO!$D$7:$R$603,12,0)</f>
        <v>MBN</v>
      </c>
      <c r="E99" s="21" t="s">
        <v>223</v>
      </c>
      <c r="F99" s="20" t="s">
        <v>26</v>
      </c>
      <c r="G99" s="4" t="s">
        <v>47</v>
      </c>
      <c r="H99" s="20">
        <v>11</v>
      </c>
      <c r="I99" s="22">
        <v>150</v>
      </c>
      <c r="J99" s="2"/>
      <c r="K99" s="20">
        <f>IFERROR(VLOOKUP($A99,[3]Sheet1!$A$2:$C$87,3,90),0)</f>
        <v>1</v>
      </c>
      <c r="L99" s="7">
        <f>K99/I99*100</f>
        <v>0.66666666666666674</v>
      </c>
    </row>
    <row r="100" spans="1:12" hidden="1">
      <c r="A100" s="20" t="s">
        <v>113</v>
      </c>
      <c r="B100" s="20" t="s">
        <v>114</v>
      </c>
      <c r="C100" s="20" t="str">
        <f>VLOOKUP($A100,[2]TOKO!$D$7:$R$603,9,0)</f>
        <v>JLE</v>
      </c>
      <c r="D100" s="20" t="str">
        <f>VLOOKUP($A100,[2]TOKO!$D$7:$R$603,12,0)</f>
        <v>YRD</v>
      </c>
      <c r="E100" s="21" t="s">
        <v>222</v>
      </c>
      <c r="F100" s="20" t="s">
        <v>26</v>
      </c>
      <c r="G100" s="4" t="s">
        <v>47</v>
      </c>
      <c r="H100" s="20">
        <v>11</v>
      </c>
      <c r="I100" s="22">
        <v>28.451612903225801</v>
      </c>
      <c r="J100" s="2"/>
      <c r="K100" s="20">
        <f>IFERROR(VLOOKUP($A100,[3]Sheet1!$A$2:$C$87,3,90),0)</f>
        <v>2</v>
      </c>
      <c r="L100" s="7">
        <f>K100/I100*100</f>
        <v>7.0294784580498888</v>
      </c>
    </row>
    <row r="101" spans="1:12" hidden="1">
      <c r="A101" s="20" t="s">
        <v>133</v>
      </c>
      <c r="B101" s="20" t="s">
        <v>134</v>
      </c>
      <c r="C101" s="20" t="str">
        <f>VLOOKUP($A101,[2]TOKO!$D$7:$R$603,9,0)</f>
        <v>JLE</v>
      </c>
      <c r="D101" s="20" t="str">
        <f>VLOOKUP($A101,[2]TOKO!$D$7:$R$603,12,0)</f>
        <v>KHO</v>
      </c>
      <c r="E101" s="21" t="s">
        <v>222</v>
      </c>
      <c r="F101" s="20" t="s">
        <v>26</v>
      </c>
      <c r="G101" s="4" t="s">
        <v>47</v>
      </c>
      <c r="H101" s="20">
        <v>11</v>
      </c>
      <c r="I101" s="22">
        <v>41.5161290322581</v>
      </c>
      <c r="J101" s="2"/>
      <c r="K101" s="20">
        <f>IFERROR(VLOOKUP($A101,[3]Sheet1!$A$2:$C$87,3,90),0)</f>
        <v>2</v>
      </c>
      <c r="L101" s="7">
        <f>K101/I101*100</f>
        <v>4.8174048174048139</v>
      </c>
    </row>
    <row r="102" spans="1:12" hidden="1">
      <c r="A102" s="20" t="s">
        <v>61</v>
      </c>
      <c r="B102" s="20" t="s">
        <v>62</v>
      </c>
      <c r="C102" s="20" t="str">
        <f>VLOOKUP($A102,[2]TOKO!$D$7:$R$603,9,0)</f>
        <v>JLE</v>
      </c>
      <c r="D102" s="20" t="str">
        <f>VLOOKUP($A102,[2]TOKO!$D$7:$R$603,12,0)</f>
        <v>YRD</v>
      </c>
      <c r="E102" s="21" t="s">
        <v>222</v>
      </c>
      <c r="F102" s="20" t="s">
        <v>26</v>
      </c>
      <c r="G102" s="4" t="s">
        <v>47</v>
      </c>
      <c r="H102" s="20">
        <v>11</v>
      </c>
      <c r="I102" s="22">
        <v>44.806451612903203</v>
      </c>
      <c r="J102" s="2"/>
      <c r="K102" s="20">
        <f>IFERROR(VLOOKUP($A102,[3]Sheet1!$A$2:$C$87,3,90),0)</f>
        <v>2</v>
      </c>
      <c r="L102" s="7">
        <f>K102/I102*100</f>
        <v>4.4636429085673166</v>
      </c>
    </row>
    <row r="103" spans="1:12" customFormat="1" hidden="1">
      <c r="A103" s="2" t="s">
        <v>200</v>
      </c>
      <c r="B103" s="2" t="s">
        <v>201</v>
      </c>
      <c r="C103" s="2" t="s">
        <v>21</v>
      </c>
      <c r="D103" s="2" t="str">
        <f>VLOOKUP($A103,[1]TOKO!$D$7:$R$594,12,)</f>
        <v>PJO</v>
      </c>
      <c r="E103" s="4" t="s">
        <v>222</v>
      </c>
      <c r="F103" s="2" t="s">
        <v>220</v>
      </c>
      <c r="G103" s="4" t="s">
        <v>47</v>
      </c>
      <c r="H103" s="2"/>
      <c r="I103" s="5">
        <v>33.394427419354798</v>
      </c>
      <c r="J103" s="2"/>
      <c r="K103" s="2"/>
      <c r="L103" s="2"/>
    </row>
    <row r="104" spans="1:12">
      <c r="A104" s="20" t="s">
        <v>83</v>
      </c>
      <c r="B104" s="20" t="s">
        <v>84</v>
      </c>
      <c r="C104" s="20" t="str">
        <f>VLOOKUP($A104,[2]TOKO!$D$7:$R$603,9,0)</f>
        <v>RFK</v>
      </c>
      <c r="D104" s="20" t="str">
        <f>VLOOKUP($A104,[2]TOKO!$D$7:$R$603,12,0)</f>
        <v>SGY</v>
      </c>
      <c r="E104" s="21" t="s">
        <v>222</v>
      </c>
      <c r="F104" s="20" t="s">
        <v>26</v>
      </c>
      <c r="G104" s="4" t="s">
        <v>47</v>
      </c>
      <c r="H104" s="20">
        <v>12</v>
      </c>
      <c r="I104" s="22">
        <v>14.322580645161301</v>
      </c>
      <c r="J104" s="2"/>
      <c r="K104" s="20">
        <f>IFERROR(VLOOKUP($A104,[3]Sheet1!$A$2:$C$87,3,90),0)</f>
        <v>0</v>
      </c>
      <c r="L104" s="7">
        <f>K104/I104*100</f>
        <v>0</v>
      </c>
    </row>
    <row r="105" spans="1:12" hidden="1">
      <c r="A105" s="20" t="s">
        <v>183</v>
      </c>
      <c r="B105" s="20" t="s">
        <v>184</v>
      </c>
      <c r="C105" s="20" t="str">
        <f>VLOOKUP($A105,[2]TOKO!$D$7:$R$603,9,0)</f>
        <v>JLE</v>
      </c>
      <c r="D105" s="20" t="str">
        <f>VLOOKUP($A105,[2]TOKO!$D$7:$R$603,12,0)</f>
        <v>MBN</v>
      </c>
      <c r="E105" s="21" t="s">
        <v>223</v>
      </c>
      <c r="F105" s="20" t="s">
        <v>26</v>
      </c>
      <c r="G105" s="4" t="s">
        <v>47</v>
      </c>
      <c r="H105" s="20">
        <v>11</v>
      </c>
      <c r="I105" s="22">
        <v>117.870967741935</v>
      </c>
      <c r="J105" s="2"/>
      <c r="K105" s="20">
        <f>IFERROR(VLOOKUP($A105,[3]Sheet1!$A$2:$C$87,3,90),0)</f>
        <v>2</v>
      </c>
      <c r="L105" s="7">
        <f>K105/I105*100</f>
        <v>1.6967706622879104</v>
      </c>
    </row>
    <row r="106" spans="1:12" hidden="1">
      <c r="A106" s="20" t="s">
        <v>81</v>
      </c>
      <c r="B106" s="20" t="s">
        <v>82</v>
      </c>
      <c r="C106" s="20" t="str">
        <f>VLOOKUP($A106,[2]TOKO!$D$7:$R$603,9,0)</f>
        <v>JLE</v>
      </c>
      <c r="D106" s="20" t="str">
        <f>VLOOKUP($A106,[2]TOKO!$D$7:$R$603,12,0)</f>
        <v>KHO</v>
      </c>
      <c r="E106" s="21" t="s">
        <v>222</v>
      </c>
      <c r="F106" s="20" t="s">
        <v>26</v>
      </c>
      <c r="G106" s="4" t="s">
        <v>47</v>
      </c>
      <c r="H106" s="20">
        <v>11</v>
      </c>
      <c r="I106" s="22">
        <v>15.7741935483871</v>
      </c>
      <c r="J106" s="2"/>
      <c r="K106" s="20">
        <f>IFERROR(VLOOKUP($A106,[3]Sheet1!$A$2:$C$87,3,90),0)</f>
        <v>2</v>
      </c>
      <c r="L106" s="7">
        <f>K106/I106*100</f>
        <v>12.67893660531697</v>
      </c>
    </row>
    <row r="107" spans="1:12">
      <c r="A107" s="20" t="s">
        <v>127</v>
      </c>
      <c r="B107" s="20" t="s">
        <v>128</v>
      </c>
      <c r="C107" s="20" t="str">
        <f>VLOOKUP($A107,[2]TOKO!$D$7:$R$603,9,0)</f>
        <v>RFK</v>
      </c>
      <c r="D107" s="20" t="str">
        <f>VLOOKUP($A107,[2]TOKO!$D$7:$R$603,12,0)</f>
        <v>SGY</v>
      </c>
      <c r="E107" s="21" t="s">
        <v>222</v>
      </c>
      <c r="F107" s="20" t="s">
        <v>26</v>
      </c>
      <c r="G107" s="4" t="s">
        <v>47</v>
      </c>
      <c r="H107" s="20">
        <v>12</v>
      </c>
      <c r="I107" s="22">
        <v>31.838709677419399</v>
      </c>
      <c r="J107" s="2"/>
      <c r="K107" s="20">
        <f>IFERROR(VLOOKUP($A107,[3]Sheet1!$A$2:$C$87,3,90),0)</f>
        <v>0</v>
      </c>
      <c r="L107" s="7">
        <f>K107/I107*100</f>
        <v>0</v>
      </c>
    </row>
    <row r="108" spans="1:12">
      <c r="A108" s="20" t="s">
        <v>111</v>
      </c>
      <c r="B108" s="20" t="s">
        <v>112</v>
      </c>
      <c r="C108" s="20" t="str">
        <f>VLOOKUP($A108,[2]TOKO!$D$7:$R$603,9,0)</f>
        <v>RFK</v>
      </c>
      <c r="D108" s="20" t="str">
        <f>VLOOKUP($A108,[2]TOKO!$D$7:$R$603,12,0)</f>
        <v>SGY</v>
      </c>
      <c r="E108" s="21" t="s">
        <v>222</v>
      </c>
      <c r="F108" s="20" t="s">
        <v>26</v>
      </c>
      <c r="G108" s="4" t="s">
        <v>47</v>
      </c>
      <c r="H108" s="20">
        <v>12</v>
      </c>
      <c r="I108" s="22">
        <v>27.096774193548399</v>
      </c>
      <c r="J108" s="2"/>
      <c r="K108" s="20">
        <f>IFERROR(VLOOKUP($A108,[3]Sheet1!$A$2:$C$87,3,90),0)</f>
        <v>0</v>
      </c>
      <c r="L108" s="7">
        <f>K108/I108*100</f>
        <v>0</v>
      </c>
    </row>
    <row r="109" spans="1:12" customFormat="1" hidden="1">
      <c r="A109" s="2" t="s">
        <v>185</v>
      </c>
      <c r="B109" s="2" t="s">
        <v>186</v>
      </c>
      <c r="C109" s="2" t="s">
        <v>19</v>
      </c>
      <c r="D109" s="2" t="str">
        <f>VLOOKUP($A109,[1]TOKO!$D$7:$R$594,12,)</f>
        <v>EGR</v>
      </c>
      <c r="E109" s="4" t="s">
        <v>223</v>
      </c>
      <c r="F109" s="2" t="s">
        <v>220</v>
      </c>
      <c r="G109" s="4" t="s">
        <v>47</v>
      </c>
      <c r="H109" s="2"/>
      <c r="I109" s="5">
        <v>38.012209677419399</v>
      </c>
      <c r="J109" s="2"/>
      <c r="K109" s="2"/>
      <c r="L109" s="2"/>
    </row>
    <row r="110" spans="1:12" customFormat="1" hidden="1">
      <c r="A110" s="2" t="s">
        <v>196</v>
      </c>
      <c r="B110" s="2" t="s">
        <v>197</v>
      </c>
      <c r="C110" s="2" t="s">
        <v>19</v>
      </c>
      <c r="D110" s="2" t="str">
        <f>VLOOKUP($A110,[1]TOKO!$D$7:$R$594,12,)</f>
        <v>MBN</v>
      </c>
      <c r="E110" s="4" t="s">
        <v>223</v>
      </c>
      <c r="F110" s="2" t="s">
        <v>220</v>
      </c>
      <c r="G110" s="4" t="s">
        <v>47</v>
      </c>
      <c r="H110" s="2"/>
      <c r="I110" s="5">
        <v>39.574249999999999</v>
      </c>
      <c r="J110" s="2"/>
      <c r="K110" s="2"/>
      <c r="L110" s="2"/>
    </row>
    <row r="111" spans="1:12" customFormat="1" hidden="1">
      <c r="A111" s="2" t="s">
        <v>214</v>
      </c>
      <c r="B111" s="2" t="s">
        <v>215</v>
      </c>
      <c r="C111" s="2" t="s">
        <v>19</v>
      </c>
      <c r="D111" s="2" t="str">
        <f>VLOOKUP($A111,[1]TOKO!$D$7:$R$594,12,)</f>
        <v>EGR</v>
      </c>
      <c r="E111" s="4" t="s">
        <v>223</v>
      </c>
      <c r="F111" s="2" t="s">
        <v>220</v>
      </c>
      <c r="G111" s="4" t="s">
        <v>47</v>
      </c>
      <c r="H111" s="2"/>
      <c r="I111" s="5">
        <v>39.665072580645202</v>
      </c>
      <c r="J111" s="2"/>
      <c r="K111" s="2"/>
      <c r="L111" s="2"/>
    </row>
    <row r="112" spans="1:12">
      <c r="A112" s="20" t="s">
        <v>167</v>
      </c>
      <c r="B112" s="20" t="s">
        <v>168</v>
      </c>
      <c r="C112" s="20" t="str">
        <f>VLOOKUP($A112,[2]TOKO!$D$7:$R$603,9,0)</f>
        <v>RFK</v>
      </c>
      <c r="D112" s="20" t="str">
        <f>VLOOKUP($A112,[2]TOKO!$D$7:$R$603,12,0)</f>
        <v>INK</v>
      </c>
      <c r="E112" s="21" t="s">
        <v>222</v>
      </c>
      <c r="F112" s="20" t="s">
        <v>26</v>
      </c>
      <c r="G112" s="4" t="s">
        <v>47</v>
      </c>
      <c r="H112" s="20">
        <v>12</v>
      </c>
      <c r="I112" s="22">
        <v>34.161290322580598</v>
      </c>
      <c r="J112" s="2"/>
      <c r="K112" s="20">
        <f>IFERROR(VLOOKUP($A112,[3]Sheet1!$A$2:$C$87,3,90),0)</f>
        <v>0</v>
      </c>
      <c r="L112" s="7">
        <f>K112/I112*100</f>
        <v>0</v>
      </c>
    </row>
    <row r="113" spans="1:12">
      <c r="A113" s="20" t="s">
        <v>163</v>
      </c>
      <c r="B113" s="20" t="s">
        <v>164</v>
      </c>
      <c r="C113" s="20" t="str">
        <f>VLOOKUP($A113,[2]TOKO!$D$7:$R$603,9,0)</f>
        <v>RFK</v>
      </c>
      <c r="D113" s="20" t="str">
        <f>VLOOKUP($A113,[2]TOKO!$D$7:$R$603,12,0)</f>
        <v>INK</v>
      </c>
      <c r="E113" s="21" t="s">
        <v>222</v>
      </c>
      <c r="F113" s="20" t="s">
        <v>26</v>
      </c>
      <c r="G113" s="4" t="s">
        <v>47</v>
      </c>
      <c r="H113" s="20">
        <v>12</v>
      </c>
      <c r="I113" s="22">
        <v>135.29032258064501</v>
      </c>
      <c r="J113" s="2"/>
      <c r="K113" s="20">
        <f>IFERROR(VLOOKUP($A113,[3]Sheet1!$A$2:$C$87,3,90),0)</f>
        <v>0</v>
      </c>
      <c r="L113" s="7">
        <f>K113/I113*100</f>
        <v>0</v>
      </c>
    </row>
    <row r="114" spans="1:12">
      <c r="A114" s="20" t="s">
        <v>87</v>
      </c>
      <c r="B114" s="20" t="s">
        <v>88</v>
      </c>
      <c r="C114" s="20" t="str">
        <f>VLOOKUP($A114,[2]TOKO!$D$7:$R$603,9,0)</f>
        <v>RFK</v>
      </c>
      <c r="D114" s="20" t="str">
        <f>VLOOKUP($A114,[2]TOKO!$D$7:$R$603,12,0)</f>
        <v>SGY</v>
      </c>
      <c r="E114" s="21" t="s">
        <v>222</v>
      </c>
      <c r="F114" s="20" t="s">
        <v>26</v>
      </c>
      <c r="G114" s="4" t="s">
        <v>47</v>
      </c>
      <c r="H114" s="20">
        <v>12</v>
      </c>
      <c r="I114" s="22">
        <v>15.290322580645199</v>
      </c>
      <c r="J114" s="2"/>
      <c r="K114" s="20">
        <f>IFERROR(VLOOKUP($A114,[3]Sheet1!$A$2:$C$87,3,90),0)</f>
        <v>1</v>
      </c>
      <c r="L114" s="7">
        <f>K114/I114*100</f>
        <v>6.5400843881856376</v>
      </c>
    </row>
    <row r="115" spans="1:12" hidden="1">
      <c r="A115" s="20" t="s">
        <v>175</v>
      </c>
      <c r="B115" s="20" t="s">
        <v>176</v>
      </c>
      <c r="C115" s="20" t="str">
        <f>VLOOKUP($A115,[2]TOKO!$D$7:$R$603,9,0)</f>
        <v>JLE</v>
      </c>
      <c r="D115" s="20" t="str">
        <f>VLOOKUP($A115,[2]TOKO!$D$7:$R$603,12,0)</f>
        <v>MBN</v>
      </c>
      <c r="E115" s="21" t="s">
        <v>223</v>
      </c>
      <c r="F115" s="20" t="s">
        <v>26</v>
      </c>
      <c r="G115" s="4" t="s">
        <v>47</v>
      </c>
      <c r="H115" s="20">
        <v>11</v>
      </c>
      <c r="I115" s="22">
        <v>145.64516129032299</v>
      </c>
      <c r="J115" s="2"/>
      <c r="K115" s="20">
        <f>IFERROR(VLOOKUP($A115,[3]Sheet1!$A$2:$C$87,3,90),0)</f>
        <v>2</v>
      </c>
      <c r="L115" s="7">
        <f>K115/I115*100</f>
        <v>1.373200442967881</v>
      </c>
    </row>
    <row r="116" spans="1:12">
      <c r="A116" s="20" t="s">
        <v>97</v>
      </c>
      <c r="B116" s="20" t="s">
        <v>98</v>
      </c>
      <c r="C116" s="20" t="str">
        <f>VLOOKUP($A116,[2]TOKO!$D$7:$R$603,9,0)</f>
        <v>RFK</v>
      </c>
      <c r="D116" s="20" t="str">
        <f>VLOOKUP($A116,[2]TOKO!$D$7:$R$603,12,0)</f>
        <v>INK</v>
      </c>
      <c r="E116" s="21" t="s">
        <v>222</v>
      </c>
      <c r="F116" s="20" t="s">
        <v>26</v>
      </c>
      <c r="G116" s="4" t="s">
        <v>47</v>
      </c>
      <c r="H116" s="20">
        <v>12</v>
      </c>
      <c r="I116" s="22">
        <v>19.741935483871</v>
      </c>
      <c r="J116" s="2"/>
      <c r="K116" s="20">
        <f>IFERROR(VLOOKUP($A116,[3]Sheet1!$A$2:$C$87,3,90),0)</f>
        <v>1</v>
      </c>
      <c r="L116" s="7">
        <f>K116/I116*100</f>
        <v>5.0653594771241748</v>
      </c>
    </row>
    <row r="117" spans="1:12" customFormat="1" hidden="1">
      <c r="A117" s="2" t="s">
        <v>212</v>
      </c>
      <c r="B117" s="2" t="s">
        <v>213</v>
      </c>
      <c r="C117" s="2" t="s">
        <v>19</v>
      </c>
      <c r="D117" s="2" t="str">
        <f>VLOOKUP($A117,[1]TOKO!$D$7:$R$594,12,)</f>
        <v>MBN</v>
      </c>
      <c r="E117" s="4" t="s">
        <v>223</v>
      </c>
      <c r="F117" s="2" t="s">
        <v>220</v>
      </c>
      <c r="G117" s="4" t="s">
        <v>47</v>
      </c>
      <c r="H117" s="2"/>
      <c r="I117" s="5">
        <v>44.739919354838698</v>
      </c>
      <c r="J117" s="2"/>
      <c r="K117" s="2"/>
      <c r="L117" s="2"/>
    </row>
    <row r="118" spans="1:12">
      <c r="A118" s="20" t="s">
        <v>147</v>
      </c>
      <c r="B118" s="20" t="s">
        <v>148</v>
      </c>
      <c r="C118" s="20" t="str">
        <f>VLOOKUP($A118,[2]TOKO!$D$7:$R$603,9,0)</f>
        <v>RFK</v>
      </c>
      <c r="D118" s="20" t="str">
        <f>VLOOKUP($A118,[2]TOKO!$D$7:$R$603,12,0)</f>
        <v>PJO</v>
      </c>
      <c r="E118" s="21" t="s">
        <v>222</v>
      </c>
      <c r="F118" s="20" t="s">
        <v>26</v>
      </c>
      <c r="G118" s="4" t="s">
        <v>47</v>
      </c>
      <c r="H118" s="20">
        <v>12</v>
      </c>
      <c r="I118" s="22">
        <v>25.838709677419399</v>
      </c>
      <c r="J118" s="2"/>
      <c r="K118" s="20">
        <f>IFERROR(VLOOKUP($A118,[3]Sheet1!$A$2:$C$87,3,90),0)</f>
        <v>1</v>
      </c>
      <c r="L118" s="7">
        <f>K118/I118*100</f>
        <v>3.8701622971285827</v>
      </c>
    </row>
    <row r="119" spans="1:12" customFormat="1" hidden="1">
      <c r="A119" s="2" t="s">
        <v>188</v>
      </c>
      <c r="B119" s="2" t="s">
        <v>189</v>
      </c>
      <c r="C119" s="2" t="s">
        <v>19</v>
      </c>
      <c r="D119" s="2" t="str">
        <f>VLOOKUP($A119,[1]TOKO!$D$7:$R$594,12,)</f>
        <v>EGR</v>
      </c>
      <c r="E119" s="4" t="s">
        <v>223</v>
      </c>
      <c r="F119" s="2" t="s">
        <v>220</v>
      </c>
      <c r="G119" s="4" t="s">
        <v>47</v>
      </c>
      <c r="H119" s="2"/>
      <c r="I119" s="5">
        <v>45.778838709677402</v>
      </c>
      <c r="J119" s="2"/>
      <c r="K119" s="2"/>
      <c r="L119" s="2"/>
    </row>
    <row r="120" spans="1:12" hidden="1">
      <c r="A120" s="20" t="s">
        <v>208</v>
      </c>
      <c r="B120" s="20" t="s">
        <v>209</v>
      </c>
      <c r="C120" s="20" t="str">
        <f>VLOOKUP($A120,[2]TOKO!$D$7:$R$603,9,0)</f>
        <v>JLE</v>
      </c>
      <c r="D120" s="20" t="str">
        <f>VLOOKUP($A120,[2]TOKO!$D$7:$R$603,12,0)</f>
        <v>EGR</v>
      </c>
      <c r="E120" s="21" t="s">
        <v>223</v>
      </c>
      <c r="F120" s="20" t="s">
        <v>26</v>
      </c>
      <c r="G120" s="4" t="s">
        <v>47</v>
      </c>
      <c r="H120" s="20">
        <v>11</v>
      </c>
      <c r="I120" s="22">
        <v>103.354838709677</v>
      </c>
      <c r="J120" s="2"/>
      <c r="K120" s="20">
        <f>IFERROR(VLOOKUP($A120,[3]Sheet1!$A$2:$C$87,3,90),0)</f>
        <v>4</v>
      </c>
      <c r="L120" s="7">
        <f>K120/I120*100</f>
        <v>3.8701622971286049</v>
      </c>
    </row>
    <row r="121" spans="1:12" hidden="1">
      <c r="A121" s="20" t="s">
        <v>95</v>
      </c>
      <c r="B121" s="20" t="s">
        <v>96</v>
      </c>
      <c r="C121" s="20" t="str">
        <f>VLOOKUP($A121,[2]TOKO!$D$7:$R$603,9,0)</f>
        <v>JLE</v>
      </c>
      <c r="D121" s="20" t="str">
        <f>VLOOKUP($A121,[2]TOKO!$D$7:$R$603,12,0)</f>
        <v>KHO</v>
      </c>
      <c r="E121" s="21" t="s">
        <v>222</v>
      </c>
      <c r="F121" s="20" t="s">
        <v>26</v>
      </c>
      <c r="G121" s="4" t="s">
        <v>47</v>
      </c>
      <c r="H121" s="20">
        <v>11</v>
      </c>
      <c r="I121" s="22">
        <v>34.741935483871003</v>
      </c>
      <c r="J121" s="2"/>
      <c r="K121" s="20">
        <f>IFERROR(VLOOKUP($A121,[3]Sheet1!$A$2:$C$87,3,90),0)</f>
        <v>4</v>
      </c>
      <c r="L121" s="7">
        <f>K121/I121*100</f>
        <v>11.513463324048271</v>
      </c>
    </row>
    <row r="122" spans="1:12">
      <c r="A122" s="20" t="s">
        <v>192</v>
      </c>
      <c r="B122" s="20" t="s">
        <v>193</v>
      </c>
      <c r="C122" s="20" t="str">
        <f>VLOOKUP($A122,[2]TOKO!$D$7:$R$603,9,0)</f>
        <v>RFK</v>
      </c>
      <c r="D122" s="20" t="str">
        <f>VLOOKUP($A122,[2]TOKO!$D$7:$R$603,12,0)</f>
        <v>RMB</v>
      </c>
      <c r="E122" s="21" t="s">
        <v>222</v>
      </c>
      <c r="F122" s="20" t="s">
        <v>26</v>
      </c>
      <c r="G122" s="4" t="s">
        <v>47</v>
      </c>
      <c r="H122" s="20">
        <v>12</v>
      </c>
      <c r="I122" s="22">
        <v>40.161290322580598</v>
      </c>
      <c r="J122" s="2"/>
      <c r="K122" s="20">
        <f>IFERROR(VLOOKUP($A122,[3]Sheet1!$A$2:$C$87,3,90),0)</f>
        <v>1</v>
      </c>
      <c r="L122" s="7">
        <f>K122/I122*100</f>
        <v>2.4899598393574327</v>
      </c>
    </row>
    <row r="123" spans="1:12" hidden="1">
      <c r="A123" s="20" t="s">
        <v>105</v>
      </c>
      <c r="B123" s="20" t="s">
        <v>106</v>
      </c>
      <c r="C123" s="20" t="str">
        <f>VLOOKUP($A123,[2]TOKO!$D$7:$R$603,9,0)</f>
        <v>JLE</v>
      </c>
      <c r="D123" s="20" t="str">
        <f>VLOOKUP($A123,[2]TOKO!$D$7:$R$603,12,0)</f>
        <v>KHO</v>
      </c>
      <c r="E123" s="21" t="s">
        <v>222</v>
      </c>
      <c r="F123" s="20" t="s">
        <v>26</v>
      </c>
      <c r="G123" s="4" t="s">
        <v>47</v>
      </c>
      <c r="H123" s="20">
        <v>11</v>
      </c>
      <c r="I123" s="22">
        <v>47.419354838709701</v>
      </c>
      <c r="J123" s="2"/>
      <c r="K123" s="20">
        <f>IFERROR(VLOOKUP($A123,[3]Sheet1!$A$2:$C$87,3,90),0)</f>
        <v>5</v>
      </c>
      <c r="L123" s="7">
        <f>K123/I123*100</f>
        <v>10.544217687074825</v>
      </c>
    </row>
    <row r="124" spans="1:12">
      <c r="A124" s="20" t="s">
        <v>169</v>
      </c>
      <c r="B124" s="20" t="s">
        <v>170</v>
      </c>
      <c r="C124" s="20" t="str">
        <f>VLOOKUP($A124,[2]TOKO!$D$7:$R$603,9,0)</f>
        <v>RFK</v>
      </c>
      <c r="D124" s="20" t="str">
        <f>VLOOKUP($A124,[2]TOKO!$D$7:$R$603,12,0)</f>
        <v>PJO</v>
      </c>
      <c r="E124" s="21" t="s">
        <v>222</v>
      </c>
      <c r="F124" s="20" t="s">
        <v>26</v>
      </c>
      <c r="G124" s="4" t="s">
        <v>47</v>
      </c>
      <c r="H124" s="20">
        <v>12</v>
      </c>
      <c r="I124" s="22">
        <v>49.741935483871003</v>
      </c>
      <c r="J124" s="2"/>
      <c r="K124" s="20">
        <f>IFERROR(VLOOKUP($A124,[3]Sheet1!$A$2:$C$87,3,90),0)</f>
        <v>1</v>
      </c>
      <c r="L124" s="7">
        <f>K124/I124*100</f>
        <v>2.0103761348897518</v>
      </c>
    </row>
    <row r="125" spans="1:12" customFormat="1" hidden="1">
      <c r="A125" s="2" t="s">
        <v>208</v>
      </c>
      <c r="B125" s="2" t="s">
        <v>209</v>
      </c>
      <c r="C125" s="2" t="s">
        <v>19</v>
      </c>
      <c r="D125" s="2" t="str">
        <f>VLOOKUP($A125,[1]TOKO!$D$7:$R$594,12,)</f>
        <v>EGR</v>
      </c>
      <c r="E125" s="4" t="s">
        <v>223</v>
      </c>
      <c r="F125" s="2" t="s">
        <v>220</v>
      </c>
      <c r="G125" s="4" t="s">
        <v>47</v>
      </c>
      <c r="H125" s="2"/>
      <c r="I125" s="5">
        <v>47.780435483871003</v>
      </c>
      <c r="J125" s="2"/>
      <c r="K125" s="2"/>
      <c r="L125" s="2"/>
    </row>
    <row r="126" spans="1:12" customFormat="1" hidden="1">
      <c r="A126" s="2" t="s">
        <v>202</v>
      </c>
      <c r="B126" s="2" t="s">
        <v>203</v>
      </c>
      <c r="C126" s="2" t="s">
        <v>19</v>
      </c>
      <c r="D126" s="2" t="str">
        <f>VLOOKUP($A126,[1]TOKO!$D$7:$R$594,12,)</f>
        <v>EGR</v>
      </c>
      <c r="E126" s="4" t="s">
        <v>223</v>
      </c>
      <c r="F126" s="2" t="s">
        <v>220</v>
      </c>
      <c r="G126" s="4" t="s">
        <v>47</v>
      </c>
      <c r="H126" s="2"/>
      <c r="I126" s="5">
        <v>47.853072580645197</v>
      </c>
      <c r="J126" s="2"/>
      <c r="K126" s="2"/>
      <c r="L126" s="2"/>
    </row>
    <row r="127" spans="1:12" customFormat="1" hidden="1">
      <c r="A127" s="2" t="s">
        <v>183</v>
      </c>
      <c r="B127" s="2" t="s">
        <v>184</v>
      </c>
      <c r="C127" s="2" t="s">
        <v>19</v>
      </c>
      <c r="D127" s="2" t="str">
        <f>VLOOKUP($A127,[1]TOKO!$D$7:$R$594,12,)</f>
        <v>MBN</v>
      </c>
      <c r="E127" s="4" t="s">
        <v>223</v>
      </c>
      <c r="F127" s="2" t="s">
        <v>220</v>
      </c>
      <c r="G127" s="4" t="s">
        <v>47</v>
      </c>
      <c r="H127" s="2"/>
      <c r="I127" s="5">
        <v>48.027459677419401</v>
      </c>
      <c r="J127" s="2"/>
      <c r="K127" s="2"/>
      <c r="L127" s="2"/>
    </row>
    <row r="128" spans="1:12" customFormat="1" hidden="1">
      <c r="A128" s="2" t="s">
        <v>204</v>
      </c>
      <c r="B128" s="2" t="s">
        <v>205</v>
      </c>
      <c r="C128" s="2" t="s">
        <v>21</v>
      </c>
      <c r="D128" s="2" t="str">
        <f>VLOOKUP($A128,[1]TOKO!$D$7:$R$594,12,)</f>
        <v>RMB</v>
      </c>
      <c r="E128" s="4" t="s">
        <v>222</v>
      </c>
      <c r="F128" s="2" t="s">
        <v>220</v>
      </c>
      <c r="G128" s="4" t="s">
        <v>47</v>
      </c>
      <c r="H128" s="2"/>
      <c r="I128" s="5">
        <v>48.5614596774194</v>
      </c>
      <c r="J128" s="2"/>
      <c r="K128" s="2"/>
      <c r="L128" s="2"/>
    </row>
    <row r="129" spans="1:12" hidden="1">
      <c r="A129" s="20" t="s">
        <v>196</v>
      </c>
      <c r="B129" s="20" t="s">
        <v>197</v>
      </c>
      <c r="C129" s="20" t="str">
        <f>VLOOKUP($A129,[2]TOKO!$D$7:$R$603,9,0)</f>
        <v>JLE</v>
      </c>
      <c r="D129" s="20" t="str">
        <f>VLOOKUP($A129,[2]TOKO!$D$7:$R$603,12,0)</f>
        <v>MBN</v>
      </c>
      <c r="E129" s="21" t="s">
        <v>223</v>
      </c>
      <c r="F129" s="20" t="s">
        <v>26</v>
      </c>
      <c r="G129" s="4" t="s">
        <v>47</v>
      </c>
      <c r="H129" s="20">
        <v>11</v>
      </c>
      <c r="I129" s="22">
        <v>72.387096774193594</v>
      </c>
      <c r="J129" s="2"/>
      <c r="K129" s="20">
        <f>IFERROR(VLOOKUP($A129,[3]Sheet1!$A$2:$C$87,3,90),0)</f>
        <v>5</v>
      </c>
      <c r="L129" s="7">
        <f>K129/I129*100</f>
        <v>6.9073083778966096</v>
      </c>
    </row>
    <row r="130" spans="1:12" hidden="1">
      <c r="A130" s="20" t="s">
        <v>131</v>
      </c>
      <c r="B130" s="20" t="s">
        <v>132</v>
      </c>
      <c r="C130" s="20" t="str">
        <f>VLOOKUP($A130,[2]TOKO!$D$7:$R$603,9,0)</f>
        <v>JLE</v>
      </c>
      <c r="D130" s="20" t="str">
        <f>VLOOKUP($A130,[2]TOKO!$D$7:$R$603,12,0)</f>
        <v>YRD</v>
      </c>
      <c r="E130" s="21" t="s">
        <v>222</v>
      </c>
      <c r="F130" s="20" t="s">
        <v>26</v>
      </c>
      <c r="G130" s="4" t="s">
        <v>47</v>
      </c>
      <c r="H130" s="20">
        <v>11</v>
      </c>
      <c r="I130" s="22">
        <v>58.935483870967701</v>
      </c>
      <c r="J130" s="2"/>
      <c r="K130" s="20">
        <f>IFERROR(VLOOKUP($A130,[3]Sheet1!$A$2:$C$87,3,90),0)</f>
        <v>6</v>
      </c>
      <c r="L130" s="7">
        <f>K130/I130*100</f>
        <v>10.180623973727428</v>
      </c>
    </row>
    <row r="131" spans="1:12">
      <c r="A131" s="20" t="s">
        <v>200</v>
      </c>
      <c r="B131" s="20" t="s">
        <v>201</v>
      </c>
      <c r="C131" s="20" t="str">
        <f>VLOOKUP($A131,[2]TOKO!$D$7:$R$603,9,0)</f>
        <v>RFK</v>
      </c>
      <c r="D131" s="20" t="str">
        <f>VLOOKUP($A131,[2]TOKO!$D$7:$R$603,12,0)</f>
        <v>PJO</v>
      </c>
      <c r="E131" s="21" t="s">
        <v>222</v>
      </c>
      <c r="F131" s="20" t="s">
        <v>26</v>
      </c>
      <c r="G131" s="4" t="s">
        <v>47</v>
      </c>
      <c r="H131" s="20">
        <v>12</v>
      </c>
      <c r="I131" s="22">
        <v>46.838709677419402</v>
      </c>
      <c r="J131" s="2"/>
      <c r="K131" s="20">
        <f>IFERROR(VLOOKUP($A131,[3]Sheet1!$A$2:$C$87,3,90),0)</f>
        <v>1</v>
      </c>
      <c r="L131" s="7">
        <f>K131/I131*100</f>
        <v>2.1349862258953149</v>
      </c>
    </row>
    <row r="132" spans="1:12" customFormat="1" hidden="1">
      <c r="A132" s="2" t="s">
        <v>187</v>
      </c>
      <c r="B132" s="2" t="s">
        <v>136</v>
      </c>
      <c r="C132" s="2" t="s">
        <v>19</v>
      </c>
      <c r="D132" s="2" t="str">
        <f>VLOOKUP($A132,[1]TOKO!$D$7:$R$594,12,)</f>
        <v>EGR</v>
      </c>
      <c r="E132" s="4" t="s">
        <v>223</v>
      </c>
      <c r="F132" s="2" t="s">
        <v>220</v>
      </c>
      <c r="G132" s="4" t="s">
        <v>47</v>
      </c>
      <c r="H132" s="2"/>
      <c r="I132" s="5">
        <v>51.1224919354839</v>
      </c>
      <c r="J132" s="2"/>
      <c r="K132" s="2"/>
      <c r="L132" s="2"/>
    </row>
    <row r="133" spans="1:12" customFormat="1" hidden="1">
      <c r="A133" s="2" t="s">
        <v>210</v>
      </c>
      <c r="B133" s="2" t="s">
        <v>211</v>
      </c>
      <c r="C133" s="2" t="s">
        <v>19</v>
      </c>
      <c r="D133" s="2" t="str">
        <f>VLOOKUP($A133,[1]TOKO!$D$7:$R$594,12,)</f>
        <v>MBN</v>
      </c>
      <c r="E133" s="4" t="s">
        <v>223</v>
      </c>
      <c r="F133" s="2" t="s">
        <v>220</v>
      </c>
      <c r="G133" s="4" t="s">
        <v>47</v>
      </c>
      <c r="H133" s="2"/>
      <c r="I133" s="5">
        <v>51.4639758064516</v>
      </c>
      <c r="J133" s="2"/>
      <c r="K133" s="2"/>
      <c r="L133" s="2"/>
    </row>
    <row r="134" spans="1:12" customFormat="1" hidden="1">
      <c r="A134" s="2" t="s">
        <v>190</v>
      </c>
      <c r="B134" s="2" t="s">
        <v>191</v>
      </c>
      <c r="C134" s="2" t="s">
        <v>21</v>
      </c>
      <c r="D134" s="2" t="str">
        <f>VLOOKUP($A134,[1]TOKO!$D$7:$R$594,12,)</f>
        <v>SGY</v>
      </c>
      <c r="E134" s="4" t="s">
        <v>222</v>
      </c>
      <c r="F134" s="2" t="s">
        <v>220</v>
      </c>
      <c r="G134" s="4" t="s">
        <v>47</v>
      </c>
      <c r="H134" s="2"/>
      <c r="I134" s="5">
        <v>58.607056451612898</v>
      </c>
      <c r="J134" s="2"/>
      <c r="K134" s="2"/>
      <c r="L134" s="2"/>
    </row>
    <row r="135" spans="1:12">
      <c r="A135" s="20" t="s">
        <v>48</v>
      </c>
      <c r="B135" s="20" t="s">
        <v>49</v>
      </c>
      <c r="C135" s="20" t="str">
        <f>VLOOKUP($A135,[2]TOKO!$D$7:$R$603,9,0)</f>
        <v>RFK</v>
      </c>
      <c r="D135" s="20" t="str">
        <f>VLOOKUP($A135,[2]TOKO!$D$7:$R$603,12,0)</f>
        <v>INK</v>
      </c>
      <c r="E135" s="21" t="s">
        <v>222</v>
      </c>
      <c r="F135" s="20" t="s">
        <v>26</v>
      </c>
      <c r="G135" s="4" t="e">
        <v>#N/A</v>
      </c>
      <c r="H135" s="20">
        <v>12</v>
      </c>
      <c r="I135" s="22">
        <v>39.870967741935502</v>
      </c>
      <c r="J135" s="2"/>
      <c r="K135" s="20">
        <f>IFERROR(VLOOKUP($A135,[3]Sheet1!$A$2:$C$87,3,90),0)</f>
        <v>1</v>
      </c>
      <c r="L135" s="7">
        <f>K135/I135*100</f>
        <v>2.5080906148867306</v>
      </c>
    </row>
    <row r="136" spans="1:12">
      <c r="A136" s="20" t="s">
        <v>159</v>
      </c>
      <c r="B136" s="20" t="s">
        <v>160</v>
      </c>
      <c r="C136" s="20" t="str">
        <f>VLOOKUP($A136,[2]TOKO!$D$7:$R$603,9,0)</f>
        <v>RFK</v>
      </c>
      <c r="D136" s="20" t="str">
        <f>VLOOKUP($A136,[2]TOKO!$D$7:$R$603,12,0)</f>
        <v>PJO</v>
      </c>
      <c r="E136" s="21" t="s">
        <v>222</v>
      </c>
      <c r="F136" s="20" t="s">
        <v>26</v>
      </c>
      <c r="G136" s="4" t="s">
        <v>47</v>
      </c>
      <c r="H136" s="20">
        <v>12</v>
      </c>
      <c r="I136" s="22">
        <v>32.419354838709701</v>
      </c>
      <c r="J136" s="2"/>
      <c r="K136" s="20">
        <f>IFERROR(VLOOKUP($A136,[3]Sheet1!$A$2:$C$87,3,90),0)</f>
        <v>2</v>
      </c>
      <c r="L136" s="7">
        <f>K136/I136*100</f>
        <v>6.1691542288557164</v>
      </c>
    </row>
    <row r="137" spans="1:12" hidden="1">
      <c r="A137" s="20" t="s">
        <v>141</v>
      </c>
      <c r="B137" s="20" t="s">
        <v>142</v>
      </c>
      <c r="C137" s="20" t="str">
        <f>VLOOKUP($A137,[2]TOKO!$D$7:$R$603,9,0)</f>
        <v>JLE</v>
      </c>
      <c r="D137" s="20" t="str">
        <f>VLOOKUP($A137,[2]TOKO!$D$7:$R$603,12,0)</f>
        <v>YRD</v>
      </c>
      <c r="E137" s="21" t="s">
        <v>222</v>
      </c>
      <c r="F137" s="20" t="s">
        <v>26</v>
      </c>
      <c r="G137" s="4" t="s">
        <v>47</v>
      </c>
      <c r="H137" s="20">
        <v>11</v>
      </c>
      <c r="I137" s="22">
        <v>27.9677419354839</v>
      </c>
      <c r="J137" s="2"/>
      <c r="K137" s="20">
        <f>IFERROR(VLOOKUP($A137,[3]Sheet1!$A$2:$C$87,3,90),0)</f>
        <v>6</v>
      </c>
      <c r="L137" s="7">
        <f>K137/I137*100</f>
        <v>21.453287197231809</v>
      </c>
    </row>
    <row r="138" spans="1:12" customFormat="1" hidden="1">
      <c r="A138" s="2" t="s">
        <v>179</v>
      </c>
      <c r="B138" s="2" t="s">
        <v>180</v>
      </c>
      <c r="C138" s="2" t="s">
        <v>19</v>
      </c>
      <c r="D138" s="2" t="str">
        <f>VLOOKUP($A138,[1]TOKO!$D$7:$R$594,12,)</f>
        <v>MBN</v>
      </c>
      <c r="E138" s="4" t="s">
        <v>223</v>
      </c>
      <c r="F138" s="2" t="s">
        <v>220</v>
      </c>
      <c r="G138" s="4" t="s">
        <v>47</v>
      </c>
      <c r="H138" s="2"/>
      <c r="I138" s="5">
        <v>64.261862903225804</v>
      </c>
      <c r="J138" s="2"/>
      <c r="K138" s="2"/>
      <c r="L138" s="2"/>
    </row>
    <row r="139" spans="1:12" customFormat="1" hidden="1">
      <c r="A139" s="2" t="s">
        <v>216</v>
      </c>
      <c r="B139" s="2" t="s">
        <v>217</v>
      </c>
      <c r="C139" s="2" t="s">
        <v>19</v>
      </c>
      <c r="D139" s="2" t="str">
        <f>VLOOKUP($A139,[1]TOKO!$D$7:$R$594,12,)</f>
        <v>MBN</v>
      </c>
      <c r="E139" s="4" t="s">
        <v>223</v>
      </c>
      <c r="F139" s="2" t="s">
        <v>220</v>
      </c>
      <c r="G139" s="4" t="s">
        <v>47</v>
      </c>
      <c r="H139" s="2"/>
      <c r="I139" s="5">
        <v>67.302370967741894</v>
      </c>
      <c r="J139" s="2"/>
      <c r="K139" s="2"/>
      <c r="L139" s="2"/>
    </row>
    <row r="140" spans="1:12" hidden="1">
      <c r="A140" s="20" t="s">
        <v>149</v>
      </c>
      <c r="B140" s="20" t="s">
        <v>150</v>
      </c>
      <c r="C140" s="20" t="str">
        <f>VLOOKUP($A140,[2]TOKO!$D$7:$R$603,9,0)</f>
        <v>JLE</v>
      </c>
      <c r="D140" s="20" t="str">
        <f>VLOOKUP($A140,[2]TOKO!$D$7:$R$603,12,0)</f>
        <v>KHO</v>
      </c>
      <c r="E140" s="21" t="s">
        <v>222</v>
      </c>
      <c r="F140" s="20" t="s">
        <v>26</v>
      </c>
      <c r="G140" s="4" t="s">
        <v>47</v>
      </c>
      <c r="H140" s="20">
        <v>11</v>
      </c>
      <c r="I140" s="22">
        <v>47.225806451612897</v>
      </c>
      <c r="J140" s="2"/>
      <c r="K140" s="20">
        <f>IFERROR(VLOOKUP($A140,[3]Sheet1!$A$2:$C$87,3,90),0)</f>
        <v>6</v>
      </c>
      <c r="L140" s="7">
        <f>K140/I140*100</f>
        <v>12.704918032786889</v>
      </c>
    </row>
    <row r="141" spans="1:12" customFormat="1" hidden="1">
      <c r="A141" s="2" t="s">
        <v>175</v>
      </c>
      <c r="B141" s="2" t="s">
        <v>176</v>
      </c>
      <c r="C141" s="2" t="s">
        <v>19</v>
      </c>
      <c r="D141" s="2" t="str">
        <f>VLOOKUP($A141,[1]TOKO!$D$7:$R$594,12,)</f>
        <v>MBN</v>
      </c>
      <c r="E141" s="4" t="s">
        <v>223</v>
      </c>
      <c r="F141" s="2" t="s">
        <v>220</v>
      </c>
      <c r="G141" s="4" t="s">
        <v>47</v>
      </c>
      <c r="H141" s="2"/>
      <c r="I141" s="5">
        <v>71.770572580645194</v>
      </c>
      <c r="J141" s="2"/>
      <c r="K141" s="2"/>
      <c r="L141" s="2"/>
    </row>
    <row r="142" spans="1:12" hidden="1">
      <c r="A142" s="20" t="s">
        <v>153</v>
      </c>
      <c r="B142" s="20" t="s">
        <v>154</v>
      </c>
      <c r="C142" s="20" t="str">
        <f>VLOOKUP($A142,[2]TOKO!$D$7:$R$603,9,0)</f>
        <v>JLE</v>
      </c>
      <c r="D142" s="20" t="str">
        <f>VLOOKUP($A142,[2]TOKO!$D$7:$R$603,12,0)</f>
        <v>KHO</v>
      </c>
      <c r="E142" s="21" t="s">
        <v>222</v>
      </c>
      <c r="F142" s="20" t="s">
        <v>26</v>
      </c>
      <c r="G142" s="4" t="s">
        <v>47</v>
      </c>
      <c r="H142" s="20">
        <v>11</v>
      </c>
      <c r="I142" s="22">
        <v>69.193548387096797</v>
      </c>
      <c r="J142" s="2"/>
      <c r="K142" s="20">
        <f>IFERROR(VLOOKUP($A142,[3]Sheet1!$A$2:$C$87,3,90),0)</f>
        <v>6</v>
      </c>
      <c r="L142" s="7">
        <f t="shared" ref="L142:L148" si="0">K142/I142*100</f>
        <v>8.6713286713286681</v>
      </c>
    </row>
    <row r="143" spans="1:12" hidden="1">
      <c r="A143" s="20" t="s">
        <v>185</v>
      </c>
      <c r="B143" s="20" t="s">
        <v>186</v>
      </c>
      <c r="C143" s="20" t="str">
        <f>VLOOKUP($A143,[2]TOKO!$D$7:$R$603,9,0)</f>
        <v>JLE</v>
      </c>
      <c r="D143" s="20" t="str">
        <f>VLOOKUP($A143,[2]TOKO!$D$7:$R$603,12,0)</f>
        <v>EGR</v>
      </c>
      <c r="E143" s="21" t="s">
        <v>223</v>
      </c>
      <c r="F143" s="20" t="s">
        <v>26</v>
      </c>
      <c r="G143" s="4" t="s">
        <v>47</v>
      </c>
      <c r="H143" s="20">
        <v>11</v>
      </c>
      <c r="I143" s="22">
        <v>99.096774193548399</v>
      </c>
      <c r="J143" s="2"/>
      <c r="K143" s="20">
        <f>IFERROR(VLOOKUP($A143,[3]Sheet1!$A$2:$C$87,3,90),0)</f>
        <v>6</v>
      </c>
      <c r="L143" s="7">
        <f t="shared" si="0"/>
        <v>6.0546874999999991</v>
      </c>
    </row>
    <row r="144" spans="1:12" hidden="1">
      <c r="A144" s="20" t="s">
        <v>218</v>
      </c>
      <c r="B144" s="20" t="s">
        <v>219</v>
      </c>
      <c r="C144" s="20" t="str">
        <f>VLOOKUP($A144,[2]TOKO!$D$7:$R$603,9,0)</f>
        <v>JLE</v>
      </c>
      <c r="D144" s="20" t="str">
        <f>VLOOKUP($A144,[2]TOKO!$D$7:$R$603,12,0)</f>
        <v>MBN</v>
      </c>
      <c r="E144" s="21" t="s">
        <v>223</v>
      </c>
      <c r="F144" s="20" t="s">
        <v>26</v>
      </c>
      <c r="G144" s="4" t="s">
        <v>47</v>
      </c>
      <c r="H144" s="20">
        <v>11</v>
      </c>
      <c r="I144" s="22">
        <v>150</v>
      </c>
      <c r="J144" s="2"/>
      <c r="K144" s="20">
        <f>IFERROR(VLOOKUP($A144,[3]Sheet1!$A$2:$C$87,3,90),0)</f>
        <v>6</v>
      </c>
      <c r="L144" s="7">
        <f t="shared" si="0"/>
        <v>4</v>
      </c>
    </row>
    <row r="145" spans="1:12">
      <c r="A145" s="20" t="s">
        <v>75</v>
      </c>
      <c r="B145" s="20" t="s">
        <v>76</v>
      </c>
      <c r="C145" s="20" t="str">
        <f>VLOOKUP($A145,[2]TOKO!$D$7:$R$603,9,0)</f>
        <v>RFK</v>
      </c>
      <c r="D145" s="20" t="str">
        <f>VLOOKUP($A145,[2]TOKO!$D$7:$R$603,12,0)</f>
        <v>INK</v>
      </c>
      <c r="E145" s="21" t="s">
        <v>222</v>
      </c>
      <c r="F145" s="20" t="s">
        <v>26</v>
      </c>
      <c r="G145" s="4" t="s">
        <v>47</v>
      </c>
      <c r="H145" s="20">
        <v>12</v>
      </c>
      <c r="I145" s="22">
        <v>15.580645161290301</v>
      </c>
      <c r="J145" s="2"/>
      <c r="K145" s="20">
        <f>IFERROR(VLOOKUP($A145,[3]Sheet1!$A$2:$C$87,3,90),0)</f>
        <v>3</v>
      </c>
      <c r="L145" s="7">
        <f t="shared" si="0"/>
        <v>19.254658385093197</v>
      </c>
    </row>
    <row r="146" spans="1:12">
      <c r="A146" s="20" t="s">
        <v>198</v>
      </c>
      <c r="B146" s="20" t="s">
        <v>199</v>
      </c>
      <c r="C146" s="20" t="str">
        <f>VLOOKUP($A146,[2]TOKO!$D$7:$R$603,9,0)</f>
        <v>RFK</v>
      </c>
      <c r="D146" s="20" t="str">
        <f>VLOOKUP($A146,[2]TOKO!$D$7:$R$603,12,0)</f>
        <v>RMB</v>
      </c>
      <c r="E146" s="21" t="s">
        <v>222</v>
      </c>
      <c r="F146" s="20" t="s">
        <v>26</v>
      </c>
      <c r="G146" s="4" t="s">
        <v>47</v>
      </c>
      <c r="H146" s="20">
        <v>12</v>
      </c>
      <c r="I146" s="22">
        <v>48.677419354838698</v>
      </c>
      <c r="J146" s="2"/>
      <c r="K146" s="20">
        <f>IFERROR(VLOOKUP($A146,[3]Sheet1!$A$2:$C$87,3,90),0)</f>
        <v>3</v>
      </c>
      <c r="L146" s="7">
        <f t="shared" si="0"/>
        <v>6.1630218687872782</v>
      </c>
    </row>
    <row r="147" spans="1:12">
      <c r="A147" s="20" t="s">
        <v>129</v>
      </c>
      <c r="B147" s="20" t="s">
        <v>130</v>
      </c>
      <c r="C147" s="20" t="str">
        <f>VLOOKUP($A147,[2]TOKO!$D$7:$R$603,9,0)</f>
        <v>RFK</v>
      </c>
      <c r="D147" s="20" t="str">
        <f>VLOOKUP($A147,[2]TOKO!$D$7:$R$603,12,0)</f>
        <v>RMB</v>
      </c>
      <c r="E147" s="21" t="s">
        <v>222</v>
      </c>
      <c r="F147" s="20" t="s">
        <v>26</v>
      </c>
      <c r="G147" s="4" t="s">
        <v>47</v>
      </c>
      <c r="H147" s="20">
        <v>12</v>
      </c>
      <c r="I147" s="22">
        <v>14.1290322580645</v>
      </c>
      <c r="J147" s="2"/>
      <c r="K147" s="20">
        <f>IFERROR(VLOOKUP($A147,[3]Sheet1!$A$2:$C$87,3,90),0)</f>
        <v>3</v>
      </c>
      <c r="L147" s="7">
        <f t="shared" si="0"/>
        <v>21.232876712328792</v>
      </c>
    </row>
    <row r="148" spans="1:12">
      <c r="A148" s="20" t="s">
        <v>119</v>
      </c>
      <c r="B148" s="20" t="s">
        <v>120</v>
      </c>
      <c r="C148" s="20" t="str">
        <f>VLOOKUP($A148,[2]TOKO!$D$7:$R$603,9,0)</f>
        <v>RFK</v>
      </c>
      <c r="D148" s="20" t="str">
        <f>VLOOKUP($A148,[2]TOKO!$D$7:$R$603,12,0)</f>
        <v>SGY</v>
      </c>
      <c r="E148" s="21" t="s">
        <v>222</v>
      </c>
      <c r="F148" s="20" t="s">
        <v>26</v>
      </c>
      <c r="G148" s="4" t="s">
        <v>47</v>
      </c>
      <c r="H148" s="20">
        <v>12</v>
      </c>
      <c r="I148" s="22">
        <v>14.806451612903199</v>
      </c>
      <c r="J148" s="2"/>
      <c r="K148" s="20">
        <f>IFERROR(VLOOKUP($A148,[3]Sheet1!$A$2:$C$87,3,90),0)</f>
        <v>4</v>
      </c>
      <c r="L148" s="7">
        <f t="shared" si="0"/>
        <v>27.015250544662354</v>
      </c>
    </row>
    <row r="149" spans="1:12" customFormat="1" hidden="1">
      <c r="A149" s="2" t="s">
        <v>218</v>
      </c>
      <c r="B149" s="2" t="s">
        <v>219</v>
      </c>
      <c r="C149" s="2" t="s">
        <v>19</v>
      </c>
      <c r="D149" s="2" t="str">
        <f>VLOOKUP($A149,[1]TOKO!$D$7:$R$594,12,)</f>
        <v>MBN</v>
      </c>
      <c r="E149" s="4" t="s">
        <v>223</v>
      </c>
      <c r="F149" s="2" t="s">
        <v>220</v>
      </c>
      <c r="G149" s="4" t="s">
        <v>47</v>
      </c>
      <c r="H149" s="2"/>
      <c r="I149" s="5">
        <v>104.49724999999999</v>
      </c>
      <c r="J149" s="2"/>
      <c r="K149" s="2"/>
      <c r="L149" s="2"/>
    </row>
    <row r="150" spans="1:12">
      <c r="A150" s="20" t="s">
        <v>59</v>
      </c>
      <c r="B150" s="20" t="s">
        <v>60</v>
      </c>
      <c r="C150" s="20" t="str">
        <f>VLOOKUP($A150,[2]TOKO!$D$7:$R$603,9,0)</f>
        <v>RFK</v>
      </c>
      <c r="D150" s="20" t="str">
        <f>VLOOKUP($A150,[2]TOKO!$D$7:$R$603,12,0)</f>
        <v>SGY</v>
      </c>
      <c r="E150" s="21" t="s">
        <v>222</v>
      </c>
      <c r="F150" s="20" t="s">
        <v>26</v>
      </c>
      <c r="G150" s="4" t="s">
        <v>47</v>
      </c>
      <c r="H150" s="20">
        <v>12</v>
      </c>
      <c r="I150" s="22">
        <v>22.354838709677399</v>
      </c>
      <c r="J150" s="2"/>
      <c r="K150" s="20">
        <f>IFERROR(VLOOKUP($A150,[3]Sheet1!$A$2:$C$87,3,90),0)</f>
        <v>4</v>
      </c>
      <c r="L150" s="7">
        <f t="shared" ref="L150:L160" si="1">K150/I150*100</f>
        <v>17.893217893217912</v>
      </c>
    </row>
    <row r="151" spans="1:12">
      <c r="A151" s="20" t="s">
        <v>125</v>
      </c>
      <c r="B151" s="20" t="s">
        <v>126</v>
      </c>
      <c r="C151" s="20" t="str">
        <f>VLOOKUP($A151,[2]TOKO!$D$7:$R$603,9,0)</f>
        <v>RFK</v>
      </c>
      <c r="D151" s="20" t="str">
        <f>VLOOKUP($A151,[2]TOKO!$D$7:$R$603,12,0)</f>
        <v>SGY</v>
      </c>
      <c r="E151" s="21" t="s">
        <v>222</v>
      </c>
      <c r="F151" s="20" t="s">
        <v>26</v>
      </c>
      <c r="G151" s="4" t="s">
        <v>47</v>
      </c>
      <c r="H151" s="20">
        <v>12</v>
      </c>
      <c r="I151" s="22">
        <v>49.548387096774199</v>
      </c>
      <c r="J151" s="2"/>
      <c r="K151" s="20">
        <f>IFERROR(VLOOKUP($A151,[3]Sheet1!$A$2:$C$87,3,90),0)</f>
        <v>4</v>
      </c>
      <c r="L151" s="7">
        <f t="shared" si="1"/>
        <v>8.0729166666666661</v>
      </c>
    </row>
    <row r="152" spans="1:12">
      <c r="A152" s="20" t="s">
        <v>157</v>
      </c>
      <c r="B152" s="20" t="s">
        <v>158</v>
      </c>
      <c r="C152" s="20" t="str">
        <f>VLOOKUP($A152,[2]TOKO!$D$7:$R$603,9,0)</f>
        <v>RFK</v>
      </c>
      <c r="D152" s="20" t="str">
        <f>VLOOKUP($A152,[2]TOKO!$D$7:$R$603,12,0)</f>
        <v>INK</v>
      </c>
      <c r="E152" s="21" t="s">
        <v>222</v>
      </c>
      <c r="F152" s="20" t="s">
        <v>26</v>
      </c>
      <c r="G152" s="4" t="s">
        <v>47</v>
      </c>
      <c r="H152" s="20">
        <v>12</v>
      </c>
      <c r="I152" s="22">
        <v>33.096774193548399</v>
      </c>
      <c r="J152" s="2"/>
      <c r="K152" s="20">
        <f>IFERROR(VLOOKUP($A152,[3]Sheet1!$A$2:$C$87,3,90),0)</f>
        <v>5</v>
      </c>
      <c r="L152" s="7">
        <f t="shared" si="1"/>
        <v>15.107212475633522</v>
      </c>
    </row>
    <row r="153" spans="1:12" hidden="1">
      <c r="A153" s="20" t="s">
        <v>206</v>
      </c>
      <c r="B153" s="20" t="s">
        <v>207</v>
      </c>
      <c r="C153" s="20" t="str">
        <f>VLOOKUP($A153,[2]TOKO!$D$7:$R$603,9,0)</f>
        <v>JLE</v>
      </c>
      <c r="D153" s="20" t="str">
        <f>VLOOKUP($A153,[2]TOKO!$D$7:$R$603,12,0)</f>
        <v>KHO</v>
      </c>
      <c r="E153" s="21" t="s">
        <v>222</v>
      </c>
      <c r="F153" s="20" t="s">
        <v>26</v>
      </c>
      <c r="G153" s="4" t="s">
        <v>47</v>
      </c>
      <c r="H153" s="20">
        <v>11</v>
      </c>
      <c r="I153" s="22">
        <v>61.645161290322598</v>
      </c>
      <c r="J153" s="2"/>
      <c r="K153" s="20">
        <f>IFERROR(VLOOKUP($A153,[3]Sheet1!$A$2:$C$87,3,90),0)</f>
        <v>6</v>
      </c>
      <c r="L153" s="7">
        <f t="shared" si="1"/>
        <v>9.7331240188383017</v>
      </c>
    </row>
    <row r="154" spans="1:12">
      <c r="A154" s="20" t="s">
        <v>165</v>
      </c>
      <c r="B154" s="20" t="s">
        <v>166</v>
      </c>
      <c r="C154" s="20" t="str">
        <f>VLOOKUP($A154,[2]TOKO!$D$7:$R$603,9,0)</f>
        <v>RFK</v>
      </c>
      <c r="D154" s="20" t="str">
        <f>VLOOKUP($A154,[2]TOKO!$D$7:$R$603,12,0)</f>
        <v>INK</v>
      </c>
      <c r="E154" s="21" t="s">
        <v>222</v>
      </c>
      <c r="F154" s="20" t="s">
        <v>26</v>
      </c>
      <c r="G154" s="4" t="s">
        <v>47</v>
      </c>
      <c r="H154" s="20">
        <v>12</v>
      </c>
      <c r="I154" s="22">
        <v>30.7741935483871</v>
      </c>
      <c r="J154" s="2"/>
      <c r="K154" s="20">
        <f>IFERROR(VLOOKUP($A154,[3]Sheet1!$A$2:$C$87,3,90),0)</f>
        <v>6</v>
      </c>
      <c r="L154" s="7">
        <f t="shared" si="1"/>
        <v>19.49685534591195</v>
      </c>
    </row>
    <row r="155" spans="1:12">
      <c r="A155" s="20" t="s">
        <v>190</v>
      </c>
      <c r="B155" s="20" t="s">
        <v>191</v>
      </c>
      <c r="C155" s="20" t="str">
        <f>VLOOKUP($A155,[2]TOKO!$D$7:$R$603,9,0)</f>
        <v>RFK</v>
      </c>
      <c r="D155" s="20" t="str">
        <f>VLOOKUP($A155,[2]TOKO!$D$7:$R$603,12,0)</f>
        <v>SGY</v>
      </c>
      <c r="E155" s="21" t="s">
        <v>222</v>
      </c>
      <c r="F155" s="20" t="s">
        <v>26</v>
      </c>
      <c r="G155" s="4" t="s">
        <v>47</v>
      </c>
      <c r="H155" s="20">
        <v>12</v>
      </c>
      <c r="I155" s="22">
        <v>112.354838709677</v>
      </c>
      <c r="J155" s="2"/>
      <c r="K155" s="20">
        <f>IFERROR(VLOOKUP($A155,[3]Sheet1!$A$2:$C$87,3,90),0)</f>
        <v>8</v>
      </c>
      <c r="L155" s="7">
        <f t="shared" si="1"/>
        <v>7.1202985931668366</v>
      </c>
    </row>
    <row r="156" spans="1:12">
      <c r="A156" s="20" t="s">
        <v>204</v>
      </c>
      <c r="B156" s="20" t="s">
        <v>205</v>
      </c>
      <c r="C156" s="20" t="str">
        <f>VLOOKUP($A156,[2]TOKO!$D$7:$R$603,9,0)</f>
        <v>RFK</v>
      </c>
      <c r="D156" s="20" t="str">
        <f>VLOOKUP($A156,[2]TOKO!$D$7:$R$603,12,0)</f>
        <v>RMB</v>
      </c>
      <c r="E156" s="21" t="s">
        <v>222</v>
      </c>
      <c r="F156" s="20" t="s">
        <v>26</v>
      </c>
      <c r="G156" s="4" t="s">
        <v>47</v>
      </c>
      <c r="H156" s="20">
        <v>12</v>
      </c>
      <c r="I156" s="22">
        <v>147.09677419354799</v>
      </c>
      <c r="J156" s="2"/>
      <c r="K156" s="20">
        <f>IFERROR(VLOOKUP($A156,[3]Sheet1!$A$2:$C$87,3,90),0)</f>
        <v>16</v>
      </c>
      <c r="L156" s="7">
        <f t="shared" si="1"/>
        <v>10.877192982456171</v>
      </c>
    </row>
    <row r="157" spans="1:12">
      <c r="A157" s="20" t="s">
        <v>155</v>
      </c>
      <c r="B157" s="20" t="s">
        <v>156</v>
      </c>
      <c r="C157" s="20" t="str">
        <f>VLOOKUP($A157,[2]TOKO!$D$7:$R$603,9,0)</f>
        <v>RFK</v>
      </c>
      <c r="D157" s="20" t="str">
        <f>VLOOKUP($A157,[2]TOKO!$D$7:$R$603,12,0)</f>
        <v>PJO</v>
      </c>
      <c r="E157" s="21" t="s">
        <v>222</v>
      </c>
      <c r="F157" s="20" t="s">
        <v>26</v>
      </c>
      <c r="G157" s="4" t="s">
        <v>47</v>
      </c>
      <c r="H157" s="20">
        <v>12</v>
      </c>
      <c r="I157" s="22">
        <v>21</v>
      </c>
      <c r="J157" s="2"/>
      <c r="K157" s="20">
        <f>IFERROR(VLOOKUP($A157,[3]Sheet1!$A$2:$C$87,3,90),0)</f>
        <v>16</v>
      </c>
      <c r="L157" s="7">
        <f t="shared" si="1"/>
        <v>76.19047619047619</v>
      </c>
    </row>
    <row r="158" spans="1:12" hidden="1">
      <c r="A158" s="20" t="s">
        <v>101</v>
      </c>
      <c r="B158" s="20" t="s">
        <v>102</v>
      </c>
      <c r="C158" s="20" t="str">
        <f>VLOOKUP($A158,[2]TOKO!$D$7:$R$603,9,0)</f>
        <v>JLE</v>
      </c>
      <c r="D158" s="20" t="str">
        <f>VLOOKUP($A158,[2]TOKO!$D$7:$R$603,12,0)</f>
        <v>YRD</v>
      </c>
      <c r="E158" s="21" t="s">
        <v>222</v>
      </c>
      <c r="F158" s="20" t="s">
        <v>26</v>
      </c>
      <c r="G158" s="4" t="s">
        <v>47</v>
      </c>
      <c r="H158" s="20">
        <v>11</v>
      </c>
      <c r="I158" s="22">
        <v>63.580645161290299</v>
      </c>
      <c r="J158" s="2"/>
      <c r="K158" s="20">
        <f>IFERROR(VLOOKUP($A158,[3]Sheet1!$A$2:$C$87,3,90),0)</f>
        <v>14</v>
      </c>
      <c r="L158" s="7">
        <f t="shared" si="1"/>
        <v>22.019279553526136</v>
      </c>
    </row>
    <row r="159" spans="1:12">
      <c r="A159" s="20" t="s">
        <v>181</v>
      </c>
      <c r="B159" s="20" t="s">
        <v>182</v>
      </c>
      <c r="C159" s="20" t="str">
        <f>VLOOKUP($A159,[2]TOKO!$D$7:$R$603,9,0)</f>
        <v>RFK</v>
      </c>
      <c r="D159" s="20" t="str">
        <f>VLOOKUP($A159,[2]TOKO!$D$7:$R$603,12,0)</f>
        <v>PJO</v>
      </c>
      <c r="E159" s="21" t="s">
        <v>222</v>
      </c>
      <c r="F159" s="20" t="s">
        <v>26</v>
      </c>
      <c r="G159" s="4" t="s">
        <v>47</v>
      </c>
      <c r="H159" s="20">
        <v>12</v>
      </c>
      <c r="I159" s="22">
        <v>114.48387096774201</v>
      </c>
      <c r="J159" s="2"/>
      <c r="K159" s="20">
        <f>IFERROR(VLOOKUP($A159,[3]Sheet1!$A$2:$C$87,3,90),0)</f>
        <v>17</v>
      </c>
      <c r="L159" s="7">
        <f t="shared" si="1"/>
        <v>14.849253310791763</v>
      </c>
    </row>
    <row r="160" spans="1:12" hidden="1">
      <c r="A160" s="20" t="s">
        <v>214</v>
      </c>
      <c r="B160" s="20" t="s">
        <v>215</v>
      </c>
      <c r="C160" s="20" t="str">
        <f>VLOOKUP($A160,[2]TOKO!$D$7:$R$603,9,0)</f>
        <v>JLE</v>
      </c>
      <c r="D160" s="20" t="str">
        <f>VLOOKUP($A160,[2]TOKO!$D$7:$R$603,12,0)</f>
        <v>EGR</v>
      </c>
      <c r="E160" s="21" t="s">
        <v>223</v>
      </c>
      <c r="F160" s="20" t="s">
        <v>26</v>
      </c>
      <c r="G160" s="4" t="s">
        <v>47</v>
      </c>
      <c r="H160" s="20">
        <v>11</v>
      </c>
      <c r="I160" s="22">
        <v>101.322580645161</v>
      </c>
      <c r="J160" s="2"/>
      <c r="K160" s="20">
        <f>IFERROR(VLOOKUP($A160,[3]Sheet1!$A$2:$C$87,3,90),0)</f>
        <v>17</v>
      </c>
      <c r="L160" s="7">
        <f t="shared" si="1"/>
        <v>16.778096147723705</v>
      </c>
    </row>
  </sheetData>
  <autoFilter ref="A4:L1164" xr:uid="{00000000-0009-0000-0000-000001000000}">
    <filterColumn colId="2">
      <filters blank="1">
        <filter val="RFK"/>
      </filters>
    </filterColumn>
    <filterColumn colId="5">
      <filters blank="1">
        <filter val="FRIED CHICKEN"/>
      </filters>
    </filterColumn>
  </autoFilter>
  <sortState ref="A56:K159">
    <sortCondition ref="K56:K159"/>
  </sortState>
  <conditionalFormatting sqref="K55:K5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5:K5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5:L16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6:K14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5:K14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4:K148 K135:K137 K142 K140 K122:K123 K131 K114:K115 K118 K93:K94 K112 K106 K102 K100 K68:K69 K91 K80 K74 K65:K66 K62 K5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4:K148 K135:K137 K142 K140 K122:K123 K131 K114:K115 K118 K93:K94 K112 K106 K102 K100 K68:K69 K91 K80 K74 K65:K66 K62 K5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4:K148 K135:K137 K142 K140 K122:K123 K131 K114:K115 K118 K93:K94 K112 K106 K102 K100 K68:K69 K91 K80 K74 K65:K66 K62 K5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4:K148 K135:K137 K142 K140 K122:K123 K131 K114:K115 K118 K93:K94 K112 K106 K102 K100 K68:K69 K91 K80 K74 K65:K66 K62 K5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0:K160 K142:K148 K135:K137 K140 K129:K131 K120:K124 K112:K116 K118 K104:K108 K98:K102 K90:K94 K96 K83:K84 K87 K79:K81 K68:K69 K76 K74 K65:K66 K61:K63 K5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0:K160 K142:K148 K135:K137 K140 K129:K131 K120:K124 K112:K116 K118 K104:K108 K98:K102 K90:K94 K96 K83:K84 K87 K79:K81 K68:K69 K76 K74 K65:K66 K61:K63 K5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0:K16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5:K1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 &amp; AS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MYNS</cp:lastModifiedBy>
  <dcterms:created xsi:type="dcterms:W3CDTF">2026-03-13T11:31:30Z</dcterms:created>
  <dcterms:modified xsi:type="dcterms:W3CDTF">2026-07-08T18:01:44Z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19468CE8CB2E81995673F569DE27637C_33</vt:lpwstr>
  </property>
  <property fmtid="{D5CDD505-2E9C-101B-9397-08002B2CF9AE}" pid="3" name="KSOProductBuildVer">
    <vt:lpwstr>2052-11.33.90</vt:lpwstr>
  </property>
</Properties>
</file>